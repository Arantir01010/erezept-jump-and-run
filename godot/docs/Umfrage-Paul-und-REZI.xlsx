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Fragebogen" sheetId="2" state="visible" r:id="rId2"/>
    <sheet name="Auswertung" sheetId="3" state="visible" r:id="rId3"/>
    <sheet name="Listen" sheetId="4" state="visible" r:id="rId4"/>
    <sheet name="Antworten" sheetId="5" state="visible" r:id="rId5"/>
  </sheets>
  <definedNames>
    <definedName name="_xlnm._FilterDatabase" localSheetId="4" hidden="1">'Antworten'!$A$2:$AH$500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17">
    <font>
      <name val="Calibri"/>
      <family val="2"/>
      <color theme="1"/>
      <sz val="11"/>
      <scheme val="minor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D04A02"/>
      <sz val="10"/>
    </font>
    <font>
      <name val="Arial"/>
      <b val="1"/>
      <color rgb="00D04A02"/>
      <sz val="16"/>
    </font>
    <font>
      <name val="Arial"/>
      <b val="1"/>
      <color rgb="00FFFFFF"/>
      <sz val="11"/>
    </font>
    <font>
      <name val="Arial"/>
      <b val="1"/>
      <color rgb="00EB8C00"/>
      <sz val="10"/>
    </font>
    <font>
      <name val="Arial"/>
      <color rgb="00464646"/>
      <sz val="9"/>
    </font>
    <font>
      <name val="Arial"/>
      <b val="1"/>
      <color rgb="00D04A02"/>
      <sz val="14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i val="1"/>
      <color rgb="00464646"/>
      <sz val="9"/>
    </font>
    <font>
      <name val="Arial"/>
      <b val="1"/>
      <color rgb="00000000"/>
      <sz val="12"/>
    </font>
    <font>
      <name val="Arial"/>
      <color rgb="007D7D7D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2CC"/>
      </patternFill>
    </fill>
    <fill>
      <patternFill patternType="solid">
        <fgColor rgb="00D04A0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4" borderId="0" pivotButton="0" quotePrefix="0" xfId="0"/>
    <xf numFmtId="0" fontId="0" fillId="4" borderId="0" pivotButton="0" quotePrefix="0" xfId="0"/>
    <xf numFmtId="0" fontId="8" fillId="0" borderId="1" pivotButton="0" quotePrefix="0" xfId="0"/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0" borderId="1" pivotButton="0" quotePrefix="0" xfId="0"/>
    <xf numFmtId="1" fontId="13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wrapText="1"/>
    </xf>
    <xf numFmtId="2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9" fontId="1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pivotButton="0" quotePrefix="0" xfId="0"/>
    <xf numFmtId="0" fontId="13" fillId="0" borderId="0" pivotButton="0" quotePrefix="0" xfId="0"/>
    <xf numFmtId="9" fontId="13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Ø Bewertung je Aussage (1-5)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'Auswertung'!B14</f>
            </strRef>
          </tx>
          <spPr>
            <a:ln>
              <a:prstDash val="solid"/>
            </a:ln>
          </spPr>
          <cat>
            <numRef>
              <f>'Auswertung'!$A$15:$A$23</f>
            </numRef>
          </cat>
          <val>
            <numRef>
              <f>'Auswertung'!$B$15:$B$23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Störfaktoren (Nennungen)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'Auswertung'!B61</f>
            </strRef>
          </tx>
          <spPr>
            <a:ln>
              <a:prstDash val="solid"/>
            </a:ln>
          </spPr>
          <cat>
            <numRef>
              <f>'Auswertung'!$A$62:$A$71</f>
            </numRef>
          </cat>
          <val>
            <numRef>
              <f>'Auswertung'!$B$62:$B$71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Umfrage</author>
  </authors>
  <commentList>
    <comment ref="E2" authorId="0" shapeId="0">
      <text>
        <t>Fragebogen Q1</t>
      </text>
    </comment>
    <comment ref="F2" authorId="0" shapeId="0">
      <text>
        <t>Fragebogen Q2</t>
      </text>
    </comment>
    <comment ref="G2" authorId="0" shapeId="0">
      <text>
        <t>Fragebogen Q3</t>
      </text>
    </comment>
    <comment ref="H2" authorId="0" shapeId="0">
      <text>
        <t>Fragebogen Q4</t>
      </text>
    </comment>
    <comment ref="I2" authorId="0" shapeId="0">
      <text>
        <t>Fragebogen Q5</t>
      </text>
    </comment>
    <comment ref="J2" authorId="0" shapeId="0">
      <text>
        <t>Fragebogen Q6</t>
      </text>
    </comment>
    <comment ref="K2" authorId="0" shapeId="0">
      <text>
        <t>Fragebogen Q7</t>
      </text>
    </comment>
    <comment ref="L2" authorId="0" shapeId="0">
      <text>
        <t>Fragebogen Q8</t>
      </text>
    </comment>
    <comment ref="M2" authorId="0" shapeId="0">
      <text>
        <t>Fragebogen Q9</t>
      </text>
    </comment>
    <comment ref="N2" authorId="0" shapeId="0">
      <text>
        <t>Fragebogen Q10</t>
      </text>
    </comment>
    <comment ref="O2" authorId="0" shapeId="0">
      <text>
        <t>Fragebogen Q11</t>
      </text>
    </comment>
    <comment ref="P2" authorId="0" shapeId="0">
      <text>
        <t>Fragebogen Q12</t>
      </text>
    </comment>
    <comment ref="Q2" authorId="0" shapeId="0">
      <text>
        <t>Fragebogen Q13</t>
      </text>
    </comment>
    <comment ref="R2" authorId="0" shapeId="0">
      <text>
        <t>Fragebogen Q14</t>
      </text>
    </comment>
    <comment ref="S2" authorId="0" shapeId="0">
      <text>
        <t>Fragebogen Q15</t>
      </text>
    </comment>
    <comment ref="T2" authorId="0" shapeId="0">
      <text>
        <t>Fragebogen Q16</t>
      </text>
    </comment>
    <comment ref="U2" authorId="0" shapeId="0">
      <text>
        <t>Fragebogen Q17</t>
      </text>
    </comment>
    <comment ref="V2" authorId="0" shapeId="0">
      <text>
        <t>Fragebogen Q17b</t>
      </text>
    </comment>
    <comment ref="W2" authorId="0" shapeId="0">
      <text>
        <t>Fragebogen Q18</t>
      </text>
    </comment>
    <comment ref="X2" authorId="0" shapeId="0">
      <text>
        <t>Fragebogen Q19</t>
      </text>
    </comment>
    <comment ref="Y2" authorId="0" shapeId="0">
      <text>
        <t>Fragebogen Q20</t>
      </text>
    </comment>
    <comment ref="Z2" authorId="0" shapeId="0">
      <text>
        <t>Fragebogen Q21</t>
      </text>
    </comment>
    <comment ref="AA2" authorId="0" shapeId="0">
      <text>
        <t>Fragebogen Q22</t>
      </text>
    </comment>
    <comment ref="AB2" authorId="0" shapeId="0">
      <text>
        <t>Fragebogen Q23</t>
      </text>
    </comment>
    <comment ref="AC2" authorId="0" shapeId="0">
      <text>
        <t>Fragebogen Q24</t>
      </text>
    </comment>
    <comment ref="AD2" authorId="0" shapeId="0">
      <text>
        <t>Fragebogen Q25</t>
      </text>
    </comment>
    <comment ref="AE2" authorId="0" shapeId="0">
      <text>
        <t>Fragebogen Q26</t>
      </text>
    </comment>
    <comment ref="AF2" authorId="0" shapeId="0">
      <text>
        <t>Fragebogen Q27</t>
      </text>
    </comment>
    <comment ref="AG2" authorId="0" shapeId="0">
      <text>
        <t>Fragebogen Q28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Umfrage „Paul &amp; REZI — Das e-Rezept Jump 'n' Run“</t>
        </is>
      </c>
    </row>
    <row r="2" ht="30" customHeight="1">
      <c r="A2" s="2" t="inlineStr">
        <is>
          <t>Ziel: herausfinden, ob das Spiel gefällt, was stört und ob die TI-Inhalte hängen bleiben — als Grundlage für die nächsten Verbesserungen.</t>
        </is>
      </c>
    </row>
    <row r="3">
      <c r="A3" s="2" t="inlineStr"/>
    </row>
    <row r="4">
      <c r="A4" s="3" t="inlineStr">
        <is>
          <t>So läuft es</t>
        </is>
      </c>
    </row>
    <row r="5" ht="30" customHeight="1">
      <c r="A5" s="2" t="inlineStr">
        <is>
          <t>1. Direkt nach dem Spielen: Blatt „Fragebogen“ am Tablet zeigen oder ausgedruckt mitgeben (ca. 3 Minuten, anonym).</t>
        </is>
      </c>
    </row>
    <row r="6" ht="30" customHeight="1">
      <c r="A6" s="2" t="inlineStr">
        <is>
          <t>2. Antworten ins Blatt „Antworten“ übertragen: eine Zeile pro Person, gelbe Zellen, Dropdowns nutzen. Spalte „Gültig“ auf Ja setzen — nur diese Zeilen zählen.</t>
        </is>
      </c>
    </row>
    <row r="7" ht="30" customHeight="1">
      <c r="A7" s="2" t="inlineStr">
        <is>
          <t>3. Blatt „Auswertung“ rechnet sich selbst: Kennzahlen, Zustimmung je Aussage, Quiz-Trefferquote, Störfaktoren, Segmente nach Bedienung und Sprache, zwei Diagramme.</t>
        </is>
      </c>
    </row>
    <row r="8" ht="30" customHeight="1">
      <c r="A8" s="2" t="inlineStr">
        <is>
          <t>4. Freitexte (Was hat gefallen / Was ändern) im Blatt „Antworten“ lesen und von Hand in Themen bündeln; sie sind die wertvollste Quelle für konkrete Änderungen.</t>
        </is>
      </c>
    </row>
    <row r="9">
      <c r="A9" s="2" t="inlineStr"/>
    </row>
    <row r="10">
      <c r="A10" s="3" t="inlineStr">
        <is>
          <t>Legende</t>
        </is>
      </c>
    </row>
    <row r="11" ht="30" customHeight="1">
      <c r="A11" s="2" t="inlineStr">
        <is>
          <t>Gelb hinterlegt = ausfüllen (Blatt „Antworten“). Blaue Schrift = Eingabe. Schwarze Schrift = Formel, nicht anfassen. Zeile 3 in „Antworten“ ist ein Beispiel (Gültig = Nein) und darf überschrieben werden.</t>
        </is>
      </c>
    </row>
    <row r="12" ht="30" customHeight="1">
      <c r="A12" s="2" t="inlineStr">
        <is>
          <t>Skala 1-5: 1 = stimme gar nicht zu, 5 = stimme voll zu. Weiterempfehlung 0-10 wird als NPS ausgewertet (Anteil 9-10 minus Anteil 0-6).</t>
        </is>
      </c>
    </row>
    <row r="13" ht="30" customHeight="1">
      <c r="A13" s="2" t="inlineStr">
        <is>
          <t>Mehrfachnennungen (Störfaktoren) durch Semikolon trennen, Schreibweise wie in „Listen“ (die Auswertung sucht wörtlich).</t>
        </is>
      </c>
    </row>
    <row r="14">
      <c r="A14" s="2" t="inlineStr">
        <is>
          <t>Quiz Q18-Q21: die Lösungen stehen im Blatt „Listen“; die Auswertung vergleicht damit.</t>
        </is>
      </c>
    </row>
    <row r="15">
      <c r="A15" s="2" t="inlineStr"/>
    </row>
    <row r="16" ht="30" customHeight="1">
      <c r="A16" s="2" t="inlineStr">
        <is>
          <t>Wie viele Antworten? Ab etwa 30 gültigen Zeilen sind Mittelwerte belastbar, Segmente (z. B. Touch vs. Tastatur) ab etwa 10 je Gruppe.</t>
        </is>
      </c>
    </row>
    <row r="17" ht="30" customHeight="1">
      <c r="A17" s="2" t="inlineStr">
        <is>
          <t>Lesehilfe: Zustimmung unter 60 % oder Ø unter 3,5 bei einer Aussage = Handlungsbedarf; Quiz-Trefferquote unter 70 % = Inhalt der Station schärfen; Störfaktor bei über 20 % der Befragten = zuerst angehen.</t>
        </is>
      </c>
    </row>
    <row r="18">
      <c r="A18" s="2" t="inlineStr"/>
    </row>
    <row r="19" ht="30" customHeight="1">
      <c r="A19" s="2" t="inlineStr">
        <is>
          <t>Freigabe fürs Team: Datei in Teams/SharePoint ablegen, jede Person trägt in „Antworten“ ein; bei gleichzeitiger Bearbeitung besser jede:r ein eigenes Blatt anlegen und am Ende zusammenführen.</t>
        </is>
      </c>
    </row>
    <row r="20">
      <c r="A20" s="4" t="inlineStr">
        <is>
          <t>Erstellt am 07.09.2026 für das Experience Center PwC Frankfurt.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workbookViewId="0">
      <selection activeCell="A1" sqref="A1"/>
    </sheetView>
  </sheetViews>
  <sheetFormatPr baseColWidth="8" defaultRowHeight="15"/>
  <cols>
    <col width="6" customWidth="1" min="1" max="1"/>
    <col width="78" customWidth="1" min="2" max="2"/>
    <col width="46" customWidth="1" min="3" max="3"/>
  </cols>
  <sheetData>
    <row r="1">
      <c r="A1" s="5" t="inlineStr">
        <is>
          <t>Paul &amp; REZI — Das e-Rezept Jump 'n' Run</t>
        </is>
      </c>
    </row>
    <row r="2">
      <c r="A2" s="6" t="inlineStr">
        <is>
          <t>Kurzumfrage nach dem Spielen (ca. 3 Minuten). Deine Antworten sind anonym und helfen uns, das Spiel besser zu machen.</t>
        </is>
      </c>
    </row>
    <row r="3">
      <c r="A3" s="7" t="inlineStr">
        <is>
          <t>Datum: ________   Erfasst von: ________   Teilnehmer-Nr.: ____</t>
        </is>
      </c>
    </row>
    <row r="5">
      <c r="A5" s="8" t="inlineStr">
        <is>
          <t>A · Über dich</t>
        </is>
      </c>
      <c r="B5" s="9" t="n"/>
      <c r="C5" s="9" t="n"/>
    </row>
    <row r="6" ht="44" customHeight="1">
      <c r="A6" s="10" t="inlineStr">
        <is>
          <t>Q1</t>
        </is>
      </c>
      <c r="B6" s="11" t="inlineStr">
        <is>
          <t>Ich bin …</t>
        </is>
      </c>
      <c r="C6" s="12" t="inlineStr">
        <is>
          <t>Besucher:in · PwC-Mitarbeiter:in · Kunde / Partner · Gesundheitswesen · Sonstiges</t>
        </is>
      </c>
    </row>
    <row r="7" ht="30" customHeight="1">
      <c r="A7" s="10" t="inlineStr">
        <is>
          <t>Q2</t>
        </is>
      </c>
      <c r="B7" s="11" t="inlineStr">
        <is>
          <t>Altersgruppe</t>
        </is>
      </c>
      <c r="C7" s="12" t="inlineStr">
        <is>
          <t>unter 20 · 20-29 · 30-39 · 40-49 · 50-59 · 60+</t>
        </is>
      </c>
    </row>
    <row r="8" ht="30" customHeight="1">
      <c r="A8" s="10" t="inlineStr">
        <is>
          <t>Q3</t>
        </is>
      </c>
      <c r="B8" s="11" t="inlineStr">
        <is>
          <t>Wie oft spielst du Videospiele?</t>
        </is>
      </c>
      <c r="C8" s="12" t="inlineStr">
        <is>
          <t>nie · selten · monatlich · wöchentlich · täglich</t>
        </is>
      </c>
    </row>
    <row r="9" ht="30" customHeight="1">
      <c r="A9" s="10" t="inlineStr">
        <is>
          <t>Q4</t>
        </is>
      </c>
      <c r="B9" s="11" t="inlineStr">
        <is>
          <t>Mein Vorwissen zu Telematikinfrastruktur, ePA und E-Rezept vor dem Spiel</t>
        </is>
      </c>
      <c r="C9" s="12" t="inlineStr">
        <is>
          <t>1 = keins … 5 = Experte</t>
        </is>
      </c>
    </row>
    <row r="10" ht="30" customHeight="1">
      <c r="A10" s="10" t="inlineStr">
        <is>
          <t>Q5</t>
        </is>
      </c>
      <c r="B10" s="11" t="inlineStr">
        <is>
          <t>Womit hast du gespielt?</t>
        </is>
      </c>
      <c r="C10" s="12" t="inlineStr">
        <is>
          <t>Tastatur · Arcade-Knöpfe · Touch</t>
        </is>
      </c>
    </row>
    <row r="11" ht="44" customHeight="1">
      <c r="A11" s="10" t="inlineStr">
        <is>
          <t>Q6</t>
        </is>
      </c>
      <c r="B11" s="11" t="inlineStr">
        <is>
          <t>In welcher Sprache?</t>
        </is>
      </c>
      <c r="C11" s="12" t="inlineStr">
        <is>
          <t>Deutsch · Englisch · Französisch · Spanisch · Chinesisch · Hindi</t>
        </is>
      </c>
    </row>
    <row r="12" ht="30" customHeight="1">
      <c r="A12" s="10" t="inlineStr">
        <is>
          <t>Q7</t>
        </is>
      </c>
      <c r="B12" s="11" t="inlineStr">
        <is>
          <t>Bis zu welcher Station bist du gekommen?</t>
        </is>
      </c>
      <c r="C12" s="12" t="inlineStr">
        <is>
          <t>Station 1 … 10 · Reward erreicht</t>
        </is>
      </c>
    </row>
    <row r="13" ht="30" customHeight="1">
      <c r="A13" s="10" t="inlineStr">
        <is>
          <t>Q8</t>
        </is>
      </c>
      <c r="B13" s="11" t="inlineStr">
        <is>
          <t>Wie lange hast du ungefähr gespielt?</t>
        </is>
      </c>
      <c r="C13" s="12" t="inlineStr">
        <is>
          <t>Minuten</t>
        </is>
      </c>
    </row>
    <row r="15">
      <c r="A15" s="8" t="inlineStr">
        <is>
          <t>B · Spielerlebnis (1 = stimme gar nicht zu … 5 = stimme voll zu)</t>
        </is>
      </c>
      <c r="B15" s="9" t="n"/>
      <c r="C15" s="9" t="n"/>
    </row>
    <row r="16" ht="30" customHeight="1">
      <c r="A16" s="10" t="inlineStr">
        <is>
          <t>Q9</t>
        </is>
      </c>
      <c r="B16" s="11" t="inlineStr">
        <is>
          <t>Das Spiel hat mir Spaß gemacht.</t>
        </is>
      </c>
      <c r="C16" s="12" t="inlineStr">
        <is>
          <t>1 · 2 · 3 · 4 · 5</t>
        </is>
      </c>
    </row>
    <row r="17" ht="30" customHeight="1">
      <c r="A17" s="10" t="inlineStr">
        <is>
          <t>Q10</t>
        </is>
      </c>
      <c r="B17" s="11" t="inlineStr">
        <is>
          <t>Die Steuerung war leicht zu verstehen.</t>
        </is>
      </c>
      <c r="C17" s="12" t="inlineStr">
        <is>
          <t>1 · 2 · 3 · 4 · 5</t>
        </is>
      </c>
    </row>
    <row r="18" ht="30" customHeight="1">
      <c r="A18" s="10" t="inlineStr">
        <is>
          <t>Q11</t>
        </is>
      </c>
      <c r="B18" s="11" t="inlineStr">
        <is>
          <t>Der Schwierigkeitsgrad war für mich passend.</t>
        </is>
      </c>
      <c r="C18" s="12" t="inlineStr">
        <is>
          <t>1 · 2 · 3 · 4 · 5</t>
        </is>
      </c>
    </row>
    <row r="19" ht="30" customHeight="1">
      <c r="A19" s="10" t="inlineStr">
        <is>
          <t>Q12</t>
        </is>
      </c>
      <c r="B19" s="11" t="inlineStr">
        <is>
          <t>Ich wusste immer, was ich als Nächstes tun soll.</t>
        </is>
      </c>
      <c r="C19" s="12" t="inlineStr">
        <is>
          <t>1 · 2 · 3 · 4 · 5</t>
        </is>
      </c>
    </row>
    <row r="20" ht="30" customHeight="1">
      <c r="A20" s="10" t="inlineStr">
        <is>
          <t>Q13</t>
        </is>
      </c>
      <c r="B20" s="11" t="inlineStr">
        <is>
          <t>Die Erklärscreens vor den Stationen (Briefings) waren hilfreich.</t>
        </is>
      </c>
      <c r="C20" s="12" t="inlineStr">
        <is>
          <t>1 · 2 · 3 · 4 · 5</t>
        </is>
      </c>
    </row>
    <row r="21" ht="30" customHeight="1">
      <c r="A21" s="10" t="inlineStr">
        <is>
          <t>Q14</t>
        </is>
      </c>
      <c r="B21" s="11" t="inlineStr">
        <is>
          <t>Die Texte waren auch ohne Vorwissen verständlich.</t>
        </is>
      </c>
      <c r="C21" s="12" t="inlineStr">
        <is>
          <t>1 · 2 · 3 · 4 · 5</t>
        </is>
      </c>
    </row>
    <row r="22" ht="30" customHeight="1">
      <c r="A22" s="10" t="inlineStr">
        <is>
          <t>Q15</t>
        </is>
      </c>
      <c r="B22" s="11" t="inlineStr">
        <is>
          <t>Grafik und Animationen gefallen mir.</t>
        </is>
      </c>
      <c r="C22" s="12" t="inlineStr">
        <is>
          <t>1 · 2 · 3 · 4 · 5</t>
        </is>
      </c>
    </row>
    <row r="23" ht="30" customHeight="1">
      <c r="A23" s="10" t="inlineStr">
        <is>
          <t>Q16</t>
        </is>
      </c>
      <c r="B23" s="11" t="inlineStr">
        <is>
          <t>Musik und Klänge passen zum Spiel.</t>
        </is>
      </c>
      <c r="C23" s="12" t="inlineStr">
        <is>
          <t>1 · 2 · 3 · 4 · 5</t>
        </is>
      </c>
    </row>
    <row r="24" ht="44" customHeight="1">
      <c r="A24" s="10" t="inlineStr">
        <is>
          <t>Q17</t>
        </is>
      </c>
      <c r="B24" s="11" t="inlineStr">
        <is>
          <t>Der Schwierigkeitsgrad war …  /  Die Länge des Spiels war …</t>
        </is>
      </c>
      <c r="C24" s="12" t="inlineStr">
        <is>
          <t>zu leicht · genau richtig · zu schwer  /  zu kurz · genau richtig · zu lang</t>
        </is>
      </c>
    </row>
    <row r="26">
      <c r="A26" s="8" t="inlineStr">
        <is>
          <t>C · Was hängen geblieben ist (richtig / falsch / weiß nicht)</t>
        </is>
      </c>
      <c r="B26" s="9" t="n"/>
      <c r="C26" s="9" t="n"/>
    </row>
    <row r="27" ht="30" customHeight="1">
      <c r="A27" s="10" t="inlineStr">
        <is>
          <t>Q18</t>
        </is>
      </c>
      <c r="B27" s="11" t="inlineStr">
        <is>
          <t>Auf der Gesundheitskarte (eGK) sind meine Rezepte gespeichert.</t>
        </is>
      </c>
      <c r="C27" s="12" t="inlineStr">
        <is>
          <t>richtig · falsch · weiß nicht</t>
        </is>
      </c>
    </row>
    <row r="28" ht="30" customHeight="1">
      <c r="A28" s="10" t="inlineStr">
        <is>
          <t>Q19</t>
        </is>
      </c>
      <c r="B28" s="11" t="inlineStr">
        <is>
          <t>Die VAU ist ein Raum, in dem im Klartext gearbeitet wird, ohne dass der Betreiber mitliest.</t>
        </is>
      </c>
      <c r="C28" s="12" t="inlineStr">
        <is>
          <t>richtig · falsch · weiß nicht</t>
        </is>
      </c>
    </row>
    <row r="29" ht="30" customHeight="1">
      <c r="A29" s="10" t="inlineStr">
        <is>
          <t>Q20</t>
        </is>
      </c>
      <c r="B29" s="11" t="inlineStr">
        <is>
          <t>Eine abgelaufene Sitzung schützt weiterhin.</t>
        </is>
      </c>
      <c r="C29" s="12" t="inlineStr">
        <is>
          <t>richtig · falsch · weiß nicht</t>
        </is>
      </c>
    </row>
    <row r="30" ht="30" customHeight="1">
      <c r="A30" s="10" t="inlineStr">
        <is>
          <t>Q21</t>
        </is>
      </c>
      <c r="B30" s="11" t="inlineStr">
        <is>
          <t>Die Verschlüsselung ersetzt die Unterschrift (Signatur) des Arztes.</t>
        </is>
      </c>
      <c r="C30" s="12" t="inlineStr">
        <is>
          <t>richtig · falsch · weiß nicht</t>
        </is>
      </c>
    </row>
    <row r="31" ht="30" customHeight="1">
      <c r="A31" s="10" t="inlineStr">
        <is>
          <t>Q22</t>
        </is>
      </c>
      <c r="B31" s="11" t="inlineStr">
        <is>
          <t>Ich habe etwas Neues über die Telematikinfrastruktur gelernt.</t>
        </is>
      </c>
      <c r="C31" s="12" t="inlineStr">
        <is>
          <t>1 · 2 · 3 · 4 · 5</t>
        </is>
      </c>
    </row>
    <row r="32" ht="30" customHeight="1">
      <c r="A32" s="10" t="inlineStr">
        <is>
          <t>Q23</t>
        </is>
      </c>
      <c r="B32" s="11" t="inlineStr">
        <is>
          <t>Welche Station hat dir am meisten beigebracht?</t>
        </is>
      </c>
      <c r="C32" s="12" t="inlineStr">
        <is>
          <t>Station 1 … 10</t>
        </is>
      </c>
    </row>
    <row r="34">
      <c r="A34" s="8" t="inlineStr">
        <is>
          <t>D · Kritik und Ideen</t>
        </is>
      </c>
      <c r="B34" s="9" t="n"/>
      <c r="C34" s="9" t="n"/>
    </row>
    <row r="35" ht="44" customHeight="1">
      <c r="A35" s="10" t="inlineStr">
        <is>
          <t>Q24</t>
        </is>
      </c>
      <c r="B35" s="11" t="inlineStr">
        <is>
          <t>Was hat gestört? (mehrere Antworten möglich)</t>
        </is>
      </c>
      <c r="C35" s="12" t="inlineStr">
        <is>
          <t>Steuerung träge · Zu schwer · Zu leicht · Zu viel Text · Text zu klein · Musik / Klang · Sprachfehler · Orientierung verloren · Technikproblem · Nichts gestört</t>
        </is>
      </c>
    </row>
    <row r="36" ht="30" customHeight="1">
      <c r="A36" s="10" t="inlineStr">
        <is>
          <t>Q25</t>
        </is>
      </c>
      <c r="B36" s="11" t="inlineStr">
        <is>
          <t>Was hat dir am besten gefallen?</t>
        </is>
      </c>
      <c r="C36" s="12" t="inlineStr">
        <is>
          <t>Freitext</t>
        </is>
      </c>
    </row>
    <row r="37" ht="30" customHeight="1">
      <c r="A37" s="10" t="inlineStr">
        <is>
          <t>Q26</t>
        </is>
      </c>
      <c r="B37" s="11" t="inlineStr">
        <is>
          <t>Was würdest du ändern?</t>
        </is>
      </c>
      <c r="C37" s="12" t="inlineStr">
        <is>
          <t>Freitext</t>
        </is>
      </c>
    </row>
    <row r="38" ht="30" customHeight="1">
      <c r="A38" s="10" t="inlineStr">
        <is>
          <t>Q27</t>
        </is>
      </c>
      <c r="B38" s="11" t="inlineStr">
        <is>
          <t>Wie wahrscheinlich empfiehlst du das Spiel weiter?</t>
        </is>
      </c>
      <c r="C38" s="12" t="inlineStr">
        <is>
          <t>0 = gar nicht … 10 = auf jeden Fall</t>
        </is>
      </c>
    </row>
    <row r="39" ht="30" customHeight="1">
      <c r="A39" s="10" t="inlineStr">
        <is>
          <t>Q28</t>
        </is>
      </c>
      <c r="B39" s="11" t="inlineStr">
        <is>
          <t>Würdest du es noch einmal spielen?</t>
        </is>
      </c>
      <c r="C39" s="12" t="inlineStr">
        <is>
          <t>Ja · Vielleicht · Nein</t>
        </is>
      </c>
    </row>
    <row r="41">
      <c r="A41" s="6" t="inlineStr">
        <is>
          <t>Danke! Die Antworten kommen in das Blatt „Antworten“ (eine Zeile pro Person), die Auswertung rechnet sich selbst.</t>
        </is>
      </c>
    </row>
  </sheetData>
  <mergeCells count="3">
    <mergeCell ref="A41:C41"/>
    <mergeCell ref="A3:C3"/>
    <mergeCell ref="A2:C2"/>
  </mergeCells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3" t="inlineStr">
        <is>
          <t>AUSWERTUNG — rechnet aus allen Zeilen mit Gültig = Ja</t>
        </is>
      </c>
    </row>
    <row r="2">
      <c r="A2" s="14" t="inlineStr">
        <is>
          <t>Nichts eintragen; alle Werte sind Formeln. Freitexte (Q25/Q26) stehen im Blatt „Antworten“ und werden von Hand geclustert.</t>
        </is>
      </c>
    </row>
    <row r="4">
      <c r="A4" s="15" t="inlineStr">
        <is>
          <t>Kennzahlen</t>
        </is>
      </c>
    </row>
    <row r="5">
      <c r="A5" s="16" t="inlineStr">
        <is>
          <t>Gültige Antworten (n)</t>
        </is>
      </c>
      <c r="B5" s="17">
        <f>COUNTIF(Antworten!$D$3:$D$500,"Ja")</f>
        <v/>
      </c>
    </row>
    <row r="6">
      <c r="A6" s="16" t="inlineStr">
        <is>
          <t>Ø Spielzeit (min)</t>
        </is>
      </c>
      <c r="B6" s="18">
        <f>IFERROR(SUMIFS(Antworten!$L$3:$L$500,Antworten!$D$3:$D$500,"Ja")/COUNTIFS(Antworten!$L$3:$L$500,"&gt;=0",Antworten!$D$3:$D$500,"Ja"),"")</f>
        <v/>
      </c>
    </row>
    <row r="7">
      <c r="A7" s="16" t="inlineStr">
        <is>
          <t>Ø Spaß (1-5)</t>
        </is>
      </c>
      <c r="B7" s="19">
        <f>IFERROR(SUMIFS(Antworten!$M$3:$M$500,Antworten!$D$3:$D$500,"Ja")/COUNTIFS(Antworten!$M$3:$M$500,"&gt;=0",Antworten!$D$3:$D$500,"Ja"),"")</f>
        <v/>
      </c>
    </row>
    <row r="8">
      <c r="A8" s="16" t="inlineStr">
        <is>
          <t>Ø Gelernt (1-5)</t>
        </is>
      </c>
      <c r="B8" s="19">
        <f>IFERROR(SUMIFS(Antworten!$AA$3:$AA$500,Antworten!$D$3:$D$500,"Ja")/COUNTIFS(Antworten!$AA$3:$AA$500,"&gt;=0",Antworten!$D$3:$D$500,"Ja"),"")</f>
        <v/>
      </c>
    </row>
    <row r="9">
      <c r="A9" s="16" t="inlineStr">
        <is>
          <t>NPS (−100 … +100)</t>
        </is>
      </c>
      <c r="B9" s="17">
        <f>IFERROR(ROUND((COUNTIFS(Antworten!$AF$3:$AF$500,"&gt;=9",Antworten!$D$3:$D$500,"Ja")-COUNTIFS(Antworten!$AF$3:$AF$500,"&lt;=6",Antworten!$D$3:$D$500,"Ja"))/COUNTIFS(Antworten!$AF$3:$AF$500,"&gt;=0",Antworten!$D$3:$D$500,"Ja")*100,0),"")</f>
        <v/>
      </c>
      <c r="C9" s="20" t="inlineStr">
        <is>
          <t>NPS = Anteil 9-10 minus Anteil 0-6, in Prozentpunkten</t>
        </is>
      </c>
    </row>
    <row r="10">
      <c r="A10" s="16" t="inlineStr">
        <is>
          <t>Anteil „nochmal spielen: Ja“</t>
        </is>
      </c>
      <c r="B10" s="21">
        <f>IFERROR(COUNTIFS(Antworten!$AG$3:$AG$500,"Ja",Antworten!$D$3:$D$500,"Ja")/COUNTIF(Antworten!$D$3:$D$500,"Ja"),"")</f>
        <v/>
      </c>
    </row>
    <row r="11">
      <c r="A11" s="16" t="inlineStr">
        <is>
          <t>Anteil Reward erreicht</t>
        </is>
      </c>
      <c r="B11" s="21">
        <f>IFERROR(COUNTIFS(Antworten!$K$3:$K$500,"Reward erreicht",Antworten!$D$3:$D$500,"Ja")/COUNTIF(Antworten!$D$3:$D$500,"Ja"),"")</f>
        <v/>
      </c>
    </row>
    <row r="13">
      <c r="A13" s="15" t="inlineStr">
        <is>
          <t>Spielerlebnis (Skala 1-5)</t>
        </is>
      </c>
    </row>
    <row r="14">
      <c r="A14" s="22" t="inlineStr">
        <is>
          <t>Aussage</t>
        </is>
      </c>
      <c r="B14" s="22" t="inlineStr">
        <is>
          <t>Ø</t>
        </is>
      </c>
      <c r="C14" s="22" t="inlineStr">
        <is>
          <t>Zustimmung (4-5)</t>
        </is>
      </c>
      <c r="D14" s="22" t="inlineStr">
        <is>
          <t>n</t>
        </is>
      </c>
      <c r="E14" s="22" t="inlineStr">
        <is>
          <t>1</t>
        </is>
      </c>
      <c r="F14" s="22" t="inlineStr">
        <is>
          <t>2</t>
        </is>
      </c>
      <c r="G14" s="22" t="inlineStr">
        <is>
          <t>3</t>
        </is>
      </c>
      <c r="H14" s="22" t="inlineStr">
        <is>
          <t>4</t>
        </is>
      </c>
      <c r="I14" s="22" t="inlineStr">
        <is>
          <t>5</t>
        </is>
      </c>
    </row>
    <row r="15">
      <c r="A15" s="16" t="inlineStr">
        <is>
          <t>Spaß</t>
        </is>
      </c>
      <c r="B15" s="23">
        <f>IFERROR(SUMIFS(Antworten!$M$3:$M$500,Antworten!$D$3:$D$500,"Ja")/COUNTIFS(Antworten!$M$3:$M$500,"&gt;=0",Antworten!$D$3:$D$500,"Ja"),"")</f>
        <v/>
      </c>
      <c r="C15" s="24">
        <f>IFERROR(COUNTIFS(Antworten!$M$3:$M$500,"&gt;=4",Antworten!$D$3:$D$500,"Ja")/COUNTIFS(Antworten!$M$3:$M$500,"&gt;=1",Antworten!$D$3:$D$500,"Ja"),"")</f>
        <v/>
      </c>
      <c r="D15" s="25">
        <f>COUNTIFS(Antworten!$M$3:$M$500,"&gt;=1",Antworten!$D$3:$D$500,"Ja")</f>
        <v/>
      </c>
      <c r="E15" s="25">
        <f>COUNTIFS(Antworten!$M$3:$M$500,1,Antworten!$D$3:$D$500,"Ja")</f>
        <v/>
      </c>
      <c r="F15" s="25">
        <f>COUNTIFS(Antworten!$M$3:$M$500,2,Antworten!$D$3:$D$500,"Ja")</f>
        <v/>
      </c>
      <c r="G15" s="25">
        <f>COUNTIFS(Antworten!$M$3:$M$500,3,Antworten!$D$3:$D$500,"Ja")</f>
        <v/>
      </c>
      <c r="H15" s="25">
        <f>COUNTIFS(Antworten!$M$3:$M$500,4,Antworten!$D$3:$D$500,"Ja")</f>
        <v/>
      </c>
      <c r="I15" s="25">
        <f>COUNTIFS(Antworten!$M$3:$M$500,5,Antworten!$D$3:$D$500,"Ja")</f>
        <v/>
      </c>
    </row>
    <row r="16">
      <c r="A16" s="16" t="inlineStr">
        <is>
          <t>Steuerung klar</t>
        </is>
      </c>
      <c r="B16" s="23">
        <f>IFERROR(SUMIFS(Antworten!$N$3:$N$500,Antworten!$D$3:$D$500,"Ja")/COUNTIFS(Antworten!$N$3:$N$500,"&gt;=0",Antworten!$D$3:$D$500,"Ja"),"")</f>
        <v/>
      </c>
      <c r="C16" s="24">
        <f>IFERROR(COUNTIFS(Antworten!$N$3:$N$500,"&gt;=4",Antworten!$D$3:$D$500,"Ja")/COUNTIFS(Antworten!$N$3:$N$500,"&gt;=1",Antworten!$D$3:$D$500,"Ja"),"")</f>
        <v/>
      </c>
      <c r="D16" s="25">
        <f>COUNTIFS(Antworten!$N$3:$N$500,"&gt;=1",Antworten!$D$3:$D$500,"Ja")</f>
        <v/>
      </c>
      <c r="E16" s="25">
        <f>COUNTIFS(Antworten!$N$3:$N$500,1,Antworten!$D$3:$D$500,"Ja")</f>
        <v/>
      </c>
      <c r="F16" s="25">
        <f>COUNTIFS(Antworten!$N$3:$N$500,2,Antworten!$D$3:$D$500,"Ja")</f>
        <v/>
      </c>
      <c r="G16" s="25">
        <f>COUNTIFS(Antworten!$N$3:$N$500,3,Antworten!$D$3:$D$500,"Ja")</f>
        <v/>
      </c>
      <c r="H16" s="25">
        <f>COUNTIFS(Antworten!$N$3:$N$500,4,Antworten!$D$3:$D$500,"Ja")</f>
        <v/>
      </c>
      <c r="I16" s="25">
        <f>COUNTIFS(Antworten!$N$3:$N$500,5,Antworten!$D$3:$D$500,"Ja")</f>
        <v/>
      </c>
    </row>
    <row r="17">
      <c r="A17" s="16" t="inlineStr">
        <is>
          <t>Schwierigkeit passend</t>
        </is>
      </c>
      <c r="B17" s="23">
        <f>IFERROR(SUMIFS(Antworten!$O$3:$O$500,Antworten!$D$3:$D$500,"Ja")/COUNTIFS(Antworten!$O$3:$O$500,"&gt;=0",Antworten!$D$3:$D$500,"Ja"),"")</f>
        <v/>
      </c>
      <c r="C17" s="24">
        <f>IFERROR(COUNTIFS(Antworten!$O$3:$O$500,"&gt;=4",Antworten!$D$3:$D$500,"Ja")/COUNTIFS(Antworten!$O$3:$O$500,"&gt;=1",Antworten!$D$3:$D$500,"Ja"),"")</f>
        <v/>
      </c>
      <c r="D17" s="25">
        <f>COUNTIFS(Antworten!$O$3:$O$500,"&gt;=1",Antworten!$D$3:$D$500,"Ja")</f>
        <v/>
      </c>
      <c r="E17" s="25">
        <f>COUNTIFS(Antworten!$O$3:$O$500,1,Antworten!$D$3:$D$500,"Ja")</f>
        <v/>
      </c>
      <c r="F17" s="25">
        <f>COUNTIFS(Antworten!$O$3:$O$500,2,Antworten!$D$3:$D$500,"Ja")</f>
        <v/>
      </c>
      <c r="G17" s="25">
        <f>COUNTIFS(Antworten!$O$3:$O$500,3,Antworten!$D$3:$D$500,"Ja")</f>
        <v/>
      </c>
      <c r="H17" s="25">
        <f>COUNTIFS(Antworten!$O$3:$O$500,4,Antworten!$D$3:$D$500,"Ja")</f>
        <v/>
      </c>
      <c r="I17" s="25">
        <f>COUNTIFS(Antworten!$O$3:$O$500,5,Antworten!$D$3:$D$500,"Ja")</f>
        <v/>
      </c>
    </row>
    <row r="18">
      <c r="A18" s="16" t="inlineStr">
        <is>
          <t>Orientierung</t>
        </is>
      </c>
      <c r="B18" s="23">
        <f>IFERROR(SUMIFS(Antworten!$P$3:$P$500,Antworten!$D$3:$D$500,"Ja")/COUNTIFS(Antworten!$P$3:$P$500,"&gt;=0",Antworten!$D$3:$D$500,"Ja"),"")</f>
        <v/>
      </c>
      <c r="C18" s="24">
        <f>IFERROR(COUNTIFS(Antworten!$P$3:$P$500,"&gt;=4",Antworten!$D$3:$D$500,"Ja")/COUNTIFS(Antworten!$P$3:$P$500,"&gt;=1",Antworten!$D$3:$D$500,"Ja"),"")</f>
        <v/>
      </c>
      <c r="D18" s="25">
        <f>COUNTIFS(Antworten!$P$3:$P$500,"&gt;=1",Antworten!$D$3:$D$500,"Ja")</f>
        <v/>
      </c>
      <c r="E18" s="25">
        <f>COUNTIFS(Antworten!$P$3:$P$500,1,Antworten!$D$3:$D$500,"Ja")</f>
        <v/>
      </c>
      <c r="F18" s="25">
        <f>COUNTIFS(Antworten!$P$3:$P$500,2,Antworten!$D$3:$D$500,"Ja")</f>
        <v/>
      </c>
      <c r="G18" s="25">
        <f>COUNTIFS(Antworten!$P$3:$P$500,3,Antworten!$D$3:$D$500,"Ja")</f>
        <v/>
      </c>
      <c r="H18" s="25">
        <f>COUNTIFS(Antworten!$P$3:$P$500,4,Antworten!$D$3:$D$500,"Ja")</f>
        <v/>
      </c>
      <c r="I18" s="25">
        <f>COUNTIFS(Antworten!$P$3:$P$500,5,Antworten!$D$3:$D$500,"Ja")</f>
        <v/>
      </c>
    </row>
    <row r="19">
      <c r="A19" s="16" t="inlineStr">
        <is>
          <t>Briefings hilfreich</t>
        </is>
      </c>
      <c r="B19" s="23">
        <f>IFERROR(SUMIFS(Antworten!$Q$3:$Q$500,Antworten!$D$3:$D$500,"Ja")/COUNTIFS(Antworten!$Q$3:$Q$500,"&gt;=0",Antworten!$D$3:$D$500,"Ja"),"")</f>
        <v/>
      </c>
      <c r="C19" s="24">
        <f>IFERROR(COUNTIFS(Antworten!$Q$3:$Q$500,"&gt;=4",Antworten!$D$3:$D$500,"Ja")/COUNTIFS(Antworten!$Q$3:$Q$500,"&gt;=1",Antworten!$D$3:$D$500,"Ja"),"")</f>
        <v/>
      </c>
      <c r="D19" s="25">
        <f>COUNTIFS(Antworten!$Q$3:$Q$500,"&gt;=1",Antworten!$D$3:$D$500,"Ja")</f>
        <v/>
      </c>
      <c r="E19" s="25">
        <f>COUNTIFS(Antworten!$Q$3:$Q$500,1,Antworten!$D$3:$D$500,"Ja")</f>
        <v/>
      </c>
      <c r="F19" s="25">
        <f>COUNTIFS(Antworten!$Q$3:$Q$500,2,Antworten!$D$3:$D$500,"Ja")</f>
        <v/>
      </c>
      <c r="G19" s="25">
        <f>COUNTIFS(Antworten!$Q$3:$Q$500,3,Antworten!$D$3:$D$500,"Ja")</f>
        <v/>
      </c>
      <c r="H19" s="25">
        <f>COUNTIFS(Antworten!$Q$3:$Q$500,4,Antworten!$D$3:$D$500,"Ja")</f>
        <v/>
      </c>
      <c r="I19" s="25">
        <f>COUNTIFS(Antworten!$Q$3:$Q$500,5,Antworten!$D$3:$D$500,"Ja")</f>
        <v/>
      </c>
    </row>
    <row r="20">
      <c r="A20" s="16" t="inlineStr">
        <is>
          <t>Texte verständlich</t>
        </is>
      </c>
      <c r="B20" s="23">
        <f>IFERROR(SUMIFS(Antworten!$R$3:$R$500,Antworten!$D$3:$D$500,"Ja")/COUNTIFS(Antworten!$R$3:$R$500,"&gt;=0",Antworten!$D$3:$D$500,"Ja"),"")</f>
        <v/>
      </c>
      <c r="C20" s="24">
        <f>IFERROR(COUNTIFS(Antworten!$R$3:$R$500,"&gt;=4",Antworten!$D$3:$D$500,"Ja")/COUNTIFS(Antworten!$R$3:$R$500,"&gt;=1",Antworten!$D$3:$D$500,"Ja"),"")</f>
        <v/>
      </c>
      <c r="D20" s="25">
        <f>COUNTIFS(Antworten!$R$3:$R$500,"&gt;=1",Antworten!$D$3:$D$500,"Ja")</f>
        <v/>
      </c>
      <c r="E20" s="25">
        <f>COUNTIFS(Antworten!$R$3:$R$500,1,Antworten!$D$3:$D$500,"Ja")</f>
        <v/>
      </c>
      <c r="F20" s="25">
        <f>COUNTIFS(Antworten!$R$3:$R$500,2,Antworten!$D$3:$D$500,"Ja")</f>
        <v/>
      </c>
      <c r="G20" s="25">
        <f>COUNTIFS(Antworten!$R$3:$R$500,3,Antworten!$D$3:$D$500,"Ja")</f>
        <v/>
      </c>
      <c r="H20" s="25">
        <f>COUNTIFS(Antworten!$R$3:$R$500,4,Antworten!$D$3:$D$500,"Ja")</f>
        <v/>
      </c>
      <c r="I20" s="25">
        <f>COUNTIFS(Antworten!$R$3:$R$500,5,Antworten!$D$3:$D$500,"Ja")</f>
        <v/>
      </c>
    </row>
    <row r="21">
      <c r="A21" s="16" t="inlineStr">
        <is>
          <t>Grafik</t>
        </is>
      </c>
      <c r="B21" s="23">
        <f>IFERROR(SUMIFS(Antworten!$S$3:$S$500,Antworten!$D$3:$D$500,"Ja")/COUNTIFS(Antworten!$S$3:$S$500,"&gt;=0",Antworten!$D$3:$D$500,"Ja"),"")</f>
        <v/>
      </c>
      <c r="C21" s="24">
        <f>IFERROR(COUNTIFS(Antworten!$S$3:$S$500,"&gt;=4",Antworten!$D$3:$D$500,"Ja")/COUNTIFS(Antworten!$S$3:$S$500,"&gt;=1",Antworten!$D$3:$D$500,"Ja"),"")</f>
        <v/>
      </c>
      <c r="D21" s="25">
        <f>COUNTIFS(Antworten!$S$3:$S$500,"&gt;=1",Antworten!$D$3:$D$500,"Ja")</f>
        <v/>
      </c>
      <c r="E21" s="25">
        <f>COUNTIFS(Antworten!$S$3:$S$500,1,Antworten!$D$3:$D$500,"Ja")</f>
        <v/>
      </c>
      <c r="F21" s="25">
        <f>COUNTIFS(Antworten!$S$3:$S$500,2,Antworten!$D$3:$D$500,"Ja")</f>
        <v/>
      </c>
      <c r="G21" s="25">
        <f>COUNTIFS(Antworten!$S$3:$S$500,3,Antworten!$D$3:$D$500,"Ja")</f>
        <v/>
      </c>
      <c r="H21" s="25">
        <f>COUNTIFS(Antworten!$S$3:$S$500,4,Antworten!$D$3:$D$500,"Ja")</f>
        <v/>
      </c>
      <c r="I21" s="25">
        <f>COUNTIFS(Antworten!$S$3:$S$500,5,Antworten!$D$3:$D$500,"Ja")</f>
        <v/>
      </c>
    </row>
    <row r="22">
      <c r="A22" s="16" t="inlineStr">
        <is>
          <t>Musik/Klang</t>
        </is>
      </c>
      <c r="B22" s="23">
        <f>IFERROR(SUMIFS(Antworten!$T$3:$T$500,Antworten!$D$3:$D$500,"Ja")/COUNTIFS(Antworten!$T$3:$T$500,"&gt;=0",Antworten!$D$3:$D$500,"Ja"),"")</f>
        <v/>
      </c>
      <c r="C22" s="24">
        <f>IFERROR(COUNTIFS(Antworten!$T$3:$T$500,"&gt;=4",Antworten!$D$3:$D$500,"Ja")/COUNTIFS(Antworten!$T$3:$T$500,"&gt;=1",Antworten!$D$3:$D$500,"Ja"),"")</f>
        <v/>
      </c>
      <c r="D22" s="25">
        <f>COUNTIFS(Antworten!$T$3:$T$500,"&gt;=1",Antworten!$D$3:$D$500,"Ja")</f>
        <v/>
      </c>
      <c r="E22" s="25">
        <f>COUNTIFS(Antworten!$T$3:$T$500,1,Antworten!$D$3:$D$500,"Ja")</f>
        <v/>
      </c>
      <c r="F22" s="25">
        <f>COUNTIFS(Antworten!$T$3:$T$500,2,Antworten!$D$3:$D$500,"Ja")</f>
        <v/>
      </c>
      <c r="G22" s="25">
        <f>COUNTIFS(Antworten!$T$3:$T$500,3,Antworten!$D$3:$D$500,"Ja")</f>
        <v/>
      </c>
      <c r="H22" s="25">
        <f>COUNTIFS(Antworten!$T$3:$T$500,4,Antworten!$D$3:$D$500,"Ja")</f>
        <v/>
      </c>
      <c r="I22" s="25">
        <f>COUNTIFS(Antworten!$T$3:$T$500,5,Antworten!$D$3:$D$500,"Ja")</f>
        <v/>
      </c>
    </row>
    <row r="23">
      <c r="A23" s="16" t="inlineStr">
        <is>
          <t>Etwas gelernt</t>
        </is>
      </c>
      <c r="B23" s="23">
        <f>IFERROR(SUMIFS(Antworten!$AA$3:$AA$500,Antworten!$D$3:$D$500,"Ja")/COUNTIFS(Antworten!$AA$3:$AA$500,"&gt;=0",Antworten!$D$3:$D$500,"Ja"),"")</f>
        <v/>
      </c>
      <c r="C23" s="24">
        <f>IFERROR(COUNTIFS(Antworten!$AA$3:$AA$500,"&gt;=4",Antworten!$D$3:$D$500,"Ja")/COUNTIFS(Antworten!$AA$3:$AA$500,"&gt;=1",Antworten!$D$3:$D$500,"Ja"),"")</f>
        <v/>
      </c>
      <c r="D23" s="25">
        <f>COUNTIFS(Antworten!$AA$3:$AA$500,"&gt;=1",Antworten!$D$3:$D$500,"Ja")</f>
        <v/>
      </c>
      <c r="E23" s="25">
        <f>COUNTIFS(Antworten!$AA$3:$AA$500,1,Antworten!$D$3:$D$500,"Ja")</f>
        <v/>
      </c>
      <c r="F23" s="25">
        <f>COUNTIFS(Antworten!$AA$3:$AA$500,2,Antworten!$D$3:$D$500,"Ja")</f>
        <v/>
      </c>
      <c r="G23" s="25">
        <f>COUNTIFS(Antworten!$AA$3:$AA$500,3,Antworten!$D$3:$D$500,"Ja")</f>
        <v/>
      </c>
      <c r="H23" s="25">
        <f>COUNTIFS(Antworten!$AA$3:$AA$500,4,Antworten!$D$3:$D$500,"Ja")</f>
        <v/>
      </c>
      <c r="I23" s="25">
        <f>COUNTIFS(Antworten!$AA$3:$AA$500,5,Antworten!$D$3:$D$500,"Ja")</f>
        <v/>
      </c>
    </row>
    <row r="24">
      <c r="A24" s="16" t="inlineStr">
        <is>
          <t>Vorwissen (Kontext, keine Bewertung)</t>
        </is>
      </c>
      <c r="B24" s="23">
        <f>IFERROR(SUMIFS(Antworten!$H$3:$H$500,Antworten!$D$3:$D$500,"Ja")/COUNTIFS(Antworten!$H$3:$H$500,"&gt;=0",Antworten!$D$3:$D$500,"Ja"),"")</f>
        <v/>
      </c>
      <c r="C24" s="24">
        <f>IFERROR(COUNTIFS(Antworten!$H$3:$H$500,"&gt;=4",Antworten!$D$3:$D$500,"Ja")/COUNTIFS(Antworten!$H$3:$H$500,"&gt;=1",Antworten!$D$3:$D$500,"Ja"),"")</f>
        <v/>
      </c>
      <c r="D24" s="25">
        <f>COUNTIFS(Antworten!$H$3:$H$500,"&gt;=1",Antworten!$D$3:$D$500,"Ja")</f>
        <v/>
      </c>
      <c r="E24" s="25">
        <f>COUNTIFS(Antworten!$H$3:$H$500,1,Antworten!$D$3:$D$500,"Ja")</f>
        <v/>
      </c>
      <c r="F24" s="25">
        <f>COUNTIFS(Antworten!$H$3:$H$500,2,Antworten!$D$3:$D$500,"Ja")</f>
        <v/>
      </c>
      <c r="G24" s="25">
        <f>COUNTIFS(Antworten!$H$3:$H$500,3,Antworten!$D$3:$D$500,"Ja")</f>
        <v/>
      </c>
      <c r="H24" s="25">
        <f>COUNTIFS(Antworten!$H$3:$H$500,4,Antworten!$D$3:$D$500,"Ja")</f>
        <v/>
      </c>
      <c r="I24" s="25">
        <f>COUNTIFS(Antworten!$H$3:$H$500,5,Antworten!$D$3:$D$500,"Ja")</f>
        <v/>
      </c>
    </row>
    <row r="26">
      <c r="A26" s="15" t="inlineStr">
        <is>
          <t>Einstufungen</t>
        </is>
      </c>
    </row>
    <row r="27">
      <c r="A27" s="22" t="inlineStr">
        <is>
          <t>Frage</t>
        </is>
      </c>
      <c r="B27" s="22" t="inlineStr">
        <is>
          <t>Option</t>
        </is>
      </c>
      <c r="C27" s="22" t="inlineStr">
        <is>
          <t>Anzahl</t>
        </is>
      </c>
      <c r="D27" s="22" t="inlineStr">
        <is>
          <t>Anteil</t>
        </is>
      </c>
    </row>
    <row r="28">
      <c r="A28" s="16" t="inlineStr">
        <is>
          <t>Schwierigkeit (Q17)</t>
        </is>
      </c>
      <c r="B28" s="16" t="inlineStr">
        <is>
          <t>zu leicht</t>
        </is>
      </c>
      <c r="C28" s="26">
        <f>COUNTIFS(Antworten!$U$3:$U$500,"zu leicht",Antworten!$D$3:$D$500,"Ja")</f>
        <v/>
      </c>
      <c r="D28" s="27">
        <f>IFERROR(C28/COUNTIFS(Antworten!$U$3:$U$500,"&lt;&gt;",Antworten!$D$3:$D$500,"Ja"),"")</f>
        <v/>
      </c>
    </row>
    <row r="29">
      <c r="A29" s="16" t="inlineStr">
        <is>
          <t>Schwierigkeit (Q17)</t>
        </is>
      </c>
      <c r="B29" s="16" t="inlineStr">
        <is>
          <t>genau richtig</t>
        </is>
      </c>
      <c r="C29" s="26">
        <f>COUNTIFS(Antworten!$U$3:$U$500,"genau richtig",Antworten!$D$3:$D$500,"Ja")</f>
        <v/>
      </c>
      <c r="D29" s="27">
        <f>IFERROR(C29/COUNTIFS(Antworten!$U$3:$U$500,"&lt;&gt;",Antworten!$D$3:$D$500,"Ja"),"")</f>
        <v/>
      </c>
    </row>
    <row r="30">
      <c r="A30" s="16" t="inlineStr">
        <is>
          <t>Schwierigkeit (Q17)</t>
        </is>
      </c>
      <c r="B30" s="16" t="inlineStr">
        <is>
          <t>zu schwer</t>
        </is>
      </c>
      <c r="C30" s="26">
        <f>COUNTIFS(Antworten!$U$3:$U$500,"zu schwer",Antworten!$D$3:$D$500,"Ja")</f>
        <v/>
      </c>
      <c r="D30" s="27">
        <f>IFERROR(C30/COUNTIFS(Antworten!$U$3:$U$500,"&lt;&gt;",Antworten!$D$3:$D$500,"Ja"),"")</f>
        <v/>
      </c>
    </row>
    <row r="31">
      <c r="A31" s="16" t="inlineStr">
        <is>
          <t>Länge (Q17)</t>
        </is>
      </c>
      <c r="B31" s="16" t="inlineStr">
        <is>
          <t>zu kurz</t>
        </is>
      </c>
      <c r="C31" s="26">
        <f>COUNTIFS(Antworten!$V$3:$V$500,"zu kurz",Antworten!$D$3:$D$500,"Ja")</f>
        <v/>
      </c>
      <c r="D31" s="27">
        <f>IFERROR(C31/COUNTIFS(Antworten!$V$3:$V$500,"&lt;&gt;",Antworten!$D$3:$D$500,"Ja"),"")</f>
        <v/>
      </c>
    </row>
    <row r="32">
      <c r="A32" s="16" t="inlineStr">
        <is>
          <t>Länge (Q17)</t>
        </is>
      </c>
      <c r="B32" s="16" t="inlineStr">
        <is>
          <t>genau richtig</t>
        </is>
      </c>
      <c r="C32" s="26">
        <f>COUNTIFS(Antworten!$V$3:$V$500,"genau richtig",Antworten!$D$3:$D$500,"Ja")</f>
        <v/>
      </c>
      <c r="D32" s="27">
        <f>IFERROR(C32/COUNTIFS(Antworten!$V$3:$V$500,"&lt;&gt;",Antworten!$D$3:$D$500,"Ja"),"")</f>
        <v/>
      </c>
    </row>
    <row r="33">
      <c r="A33" s="16" t="inlineStr">
        <is>
          <t>Länge (Q17)</t>
        </is>
      </c>
      <c r="B33" s="16" t="inlineStr">
        <is>
          <t>zu lang</t>
        </is>
      </c>
      <c r="C33" s="26">
        <f>COUNTIFS(Antworten!$V$3:$V$500,"zu lang",Antworten!$D$3:$D$500,"Ja")</f>
        <v/>
      </c>
      <c r="D33" s="27">
        <f>IFERROR(C33/COUNTIFS(Antworten!$V$3:$V$500,"&lt;&gt;",Antworten!$D$3:$D$500,"Ja"),"")</f>
        <v/>
      </c>
    </row>
    <row r="34">
      <c r="A34" s="16" t="inlineStr">
        <is>
          <t>Nochmal spielen (Q28)</t>
        </is>
      </c>
      <c r="B34" s="16" t="inlineStr">
        <is>
          <t>Ja</t>
        </is>
      </c>
      <c r="C34" s="26">
        <f>COUNTIFS(Antworten!$AG$3:$AG$500,"Ja",Antworten!$D$3:$D$500,"Ja")</f>
        <v/>
      </c>
      <c r="D34" s="27">
        <f>IFERROR(C34/COUNTIFS(Antworten!$AG$3:$AG$500,"&lt;&gt;",Antworten!$D$3:$D$500,"Ja"),"")</f>
        <v/>
      </c>
    </row>
    <row r="35">
      <c r="A35" s="16" t="inlineStr">
        <is>
          <t>Nochmal spielen (Q28)</t>
        </is>
      </c>
      <c r="B35" s="16" t="inlineStr">
        <is>
          <t>Vielleicht</t>
        </is>
      </c>
      <c r="C35" s="26">
        <f>COUNTIFS(Antworten!$AG$3:$AG$500,"Vielleicht",Antworten!$D$3:$D$500,"Ja")</f>
        <v/>
      </c>
      <c r="D35" s="27">
        <f>IFERROR(C35/COUNTIFS(Antworten!$AG$3:$AG$500,"&lt;&gt;",Antworten!$D$3:$D$500,"Ja"),"")</f>
        <v/>
      </c>
    </row>
    <row r="36">
      <c r="A36" s="16" t="inlineStr">
        <is>
          <t>Nochmal spielen (Q28)</t>
        </is>
      </c>
      <c r="B36" s="16" t="inlineStr">
        <is>
          <t>Nein</t>
        </is>
      </c>
      <c r="C36" s="26">
        <f>COUNTIFS(Antworten!$AG$3:$AG$500,"Nein",Antworten!$D$3:$D$500,"Ja")</f>
        <v/>
      </c>
      <c r="D36" s="27">
        <f>IFERROR(C36/COUNTIFS(Antworten!$AG$3:$AG$500,"&lt;&gt;",Antworten!$D$3:$D$500,"Ja"),"")</f>
        <v/>
      </c>
    </row>
    <row r="38">
      <c r="A38" s="15" t="inlineStr">
        <is>
          <t>Lernwirkung — Quiz (Anteil richtig)</t>
        </is>
      </c>
    </row>
    <row r="39">
      <c r="A39" s="22" t="inlineStr">
        <is>
          <t>Aussage</t>
        </is>
      </c>
      <c r="B39" s="22" t="inlineStr">
        <is>
          <t>Lösung</t>
        </is>
      </c>
      <c r="C39" s="22" t="inlineStr">
        <is>
          <t>richtig</t>
        </is>
      </c>
      <c r="D39" s="22" t="inlineStr">
        <is>
          <t>falsch</t>
        </is>
      </c>
      <c r="E39" s="22" t="inlineStr">
        <is>
          <t>weiß nicht</t>
        </is>
      </c>
      <c r="F39" s="22" t="inlineStr">
        <is>
          <t>Anteil richtig</t>
        </is>
      </c>
    </row>
    <row r="40" ht="30" customHeight="1">
      <c r="A40" s="11" t="inlineStr">
        <is>
          <t>Q18 Auf der Gesundheitskarte (eGK) sind meine Rezepte gespeichert.</t>
        </is>
      </c>
      <c r="B40" s="26">
        <f>Listen!$N$4</f>
        <v/>
      </c>
      <c r="C40" s="26">
        <f>COUNTIFS(Antworten!$W$3:$W$500,B40,Antworten!$D$3:$D$500,"Ja")</f>
        <v/>
      </c>
      <c r="D40" s="26">
        <f>COUNTIFS(Antworten!$W$3:$W$500,"&lt;&gt;"&amp;B40,Antworten!$W$3:$W$500,"&lt;&gt;weiß nicht",Antworten!$W$3:$W$500,"&lt;&gt;",Antworten!$D$3:$D$500,"Ja")</f>
        <v/>
      </c>
      <c r="E40" s="26">
        <f>COUNTIFS(Antworten!$W$3:$W$500,"weiß nicht",Antworten!$D$3:$D$500,"Ja")</f>
        <v/>
      </c>
      <c r="F40" s="27">
        <f>IFERROR(C40/(C40+D40+E40),"")</f>
        <v/>
      </c>
    </row>
    <row r="41" ht="30" customHeight="1">
      <c r="A41" s="11" t="inlineStr">
        <is>
          <t>Q19 Die VAU ist ein Raum, in dem im Klartext gearbeitet wird, ohne dass der Betreiber mitliest.</t>
        </is>
      </c>
      <c r="B41" s="26">
        <f>Listen!$N$5</f>
        <v/>
      </c>
      <c r="C41" s="26">
        <f>COUNTIFS(Antworten!$X$3:$X$500,B41,Antworten!$D$3:$D$500,"Ja")</f>
        <v/>
      </c>
      <c r="D41" s="26">
        <f>COUNTIFS(Antworten!$X$3:$X$500,"&lt;&gt;"&amp;B41,Antworten!$X$3:$X$500,"&lt;&gt;weiß nicht",Antworten!$X$3:$X$500,"&lt;&gt;",Antworten!$D$3:$D$500,"Ja")</f>
        <v/>
      </c>
      <c r="E41" s="26">
        <f>COUNTIFS(Antworten!$X$3:$X$500,"weiß nicht",Antworten!$D$3:$D$500,"Ja")</f>
        <v/>
      </c>
      <c r="F41" s="27">
        <f>IFERROR(C41/(C41+D41+E41),"")</f>
        <v/>
      </c>
    </row>
    <row r="42" ht="30" customHeight="1">
      <c r="A42" s="11" t="inlineStr">
        <is>
          <t>Q20 Eine abgelaufene Sitzung schützt weiterhin.</t>
        </is>
      </c>
      <c r="B42" s="26">
        <f>Listen!$N$6</f>
        <v/>
      </c>
      <c r="C42" s="26">
        <f>COUNTIFS(Antworten!$Y$3:$Y$500,B42,Antworten!$D$3:$D$500,"Ja")</f>
        <v/>
      </c>
      <c r="D42" s="26">
        <f>COUNTIFS(Antworten!$Y$3:$Y$500,"&lt;&gt;"&amp;B42,Antworten!$Y$3:$Y$500,"&lt;&gt;weiß nicht",Antworten!$Y$3:$Y$500,"&lt;&gt;",Antworten!$D$3:$D$500,"Ja")</f>
        <v/>
      </c>
      <c r="E42" s="26">
        <f>COUNTIFS(Antworten!$Y$3:$Y$500,"weiß nicht",Antworten!$D$3:$D$500,"Ja")</f>
        <v/>
      </c>
      <c r="F42" s="27">
        <f>IFERROR(C42/(C42+D42+E42),"")</f>
        <v/>
      </c>
    </row>
    <row r="43" ht="30" customHeight="1">
      <c r="A43" s="11" t="inlineStr">
        <is>
          <t>Q21 Die Verschlüsselung ersetzt die Unterschrift (Signatur) des Arztes.</t>
        </is>
      </c>
      <c r="B43" s="26">
        <f>Listen!$N$7</f>
        <v/>
      </c>
      <c r="C43" s="26">
        <f>COUNTIFS(Antworten!$Z$3:$Z$500,B43,Antworten!$D$3:$D$500,"Ja")</f>
        <v/>
      </c>
      <c r="D43" s="26">
        <f>COUNTIFS(Antworten!$Z$3:$Z$500,"&lt;&gt;"&amp;B43,Antworten!$Z$3:$Z$500,"&lt;&gt;weiß nicht",Antworten!$Z$3:$Z$500,"&lt;&gt;",Antworten!$D$3:$D$500,"Ja")</f>
        <v/>
      </c>
      <c r="E43" s="26">
        <f>COUNTIFS(Antworten!$Z$3:$Z$500,"weiß nicht",Antworten!$D$3:$D$500,"Ja")</f>
        <v/>
      </c>
      <c r="F43" s="27">
        <f>IFERROR(C43/(C43+D43+E43),"")</f>
        <v/>
      </c>
    </row>
    <row r="44">
      <c r="A44" s="28" t="inlineStr">
        <is>
          <t>Gesamt richtig</t>
        </is>
      </c>
      <c r="F44" s="29">
        <f>IFERROR(SUM(C40:C43)/SUM(C40:E43),"")</f>
        <v/>
      </c>
    </row>
    <row r="46">
      <c r="A46" s="15" t="inlineStr">
        <is>
          <t>Lehrreichste Station (Q23) und erreichte Station (Q7)</t>
        </is>
      </c>
    </row>
    <row r="47">
      <c r="A47" s="22" t="inlineStr">
        <is>
          <t>Station</t>
        </is>
      </c>
      <c r="B47" s="22" t="inlineStr">
        <is>
          <t>lehrreichste</t>
        </is>
      </c>
      <c r="C47" s="22" t="inlineStr">
        <is>
          <t>letzte erreichte</t>
        </is>
      </c>
    </row>
    <row r="48">
      <c r="A48" s="16" t="inlineStr">
        <is>
          <t>1 Stammdaten</t>
        </is>
      </c>
      <c r="B48" s="26">
        <f>COUNTIFS(Antworten!$AB$3:$AB$500,"1 Stammdaten",Antworten!$D$3:$D$500,"Ja")</f>
        <v/>
      </c>
      <c r="C48" s="26">
        <f>COUNTIFS(Antworten!$K$3:$K$500,"1 Stammdaten",Antworten!$D$3:$D$500,"Ja")</f>
        <v/>
      </c>
    </row>
    <row r="49">
      <c r="A49" s="16" t="inlineStr">
        <is>
          <t>2 Kartenterminal</t>
        </is>
      </c>
      <c r="B49" s="26">
        <f>COUNTIFS(Antworten!$AB$3:$AB$500,"2 Kartenterminal",Antworten!$D$3:$D$500,"Ja")</f>
        <v/>
      </c>
      <c r="C49" s="26">
        <f>COUNTIFS(Antworten!$K$3:$K$500,"2 Kartenterminal",Antworten!$D$3:$D$500,"Ja")</f>
        <v/>
      </c>
    </row>
    <row r="50">
      <c r="A50" s="16" t="inlineStr">
        <is>
          <t>3 KOV Gateway</t>
        </is>
      </c>
      <c r="B50" s="26">
        <f>COUNTIFS(Antworten!$AB$3:$AB$500,"3 KOV Gateway",Antworten!$D$3:$D$500,"Ja")</f>
        <v/>
      </c>
      <c r="C50" s="26">
        <f>COUNTIFS(Antworten!$K$3:$K$500,"3 KOV Gateway",Antworten!$D$3:$D$500,"Ja")</f>
        <v/>
      </c>
    </row>
    <row r="51">
      <c r="A51" s="16" t="inlineStr">
        <is>
          <t>4 Die Hülle</t>
        </is>
      </c>
      <c r="B51" s="26">
        <f>COUNTIFS(Antworten!$AB$3:$AB$500,"4 Die Hülle",Antworten!$D$3:$D$500,"Ja")</f>
        <v/>
      </c>
      <c r="C51" s="26">
        <f>COUNTIFS(Antworten!$K$3:$K$500,"4 Die Hülle",Antworten!$D$3:$D$500,"Ja")</f>
        <v/>
      </c>
    </row>
    <row r="52">
      <c r="A52" s="16" t="inlineStr">
        <is>
          <t>5 Identität</t>
        </is>
      </c>
      <c r="B52" s="26">
        <f>COUNTIFS(Antworten!$AB$3:$AB$500,"5 Identität",Antworten!$D$3:$D$500,"Ja")</f>
        <v/>
      </c>
      <c r="C52" s="26">
        <f>COUNTIFS(Antworten!$K$3:$K$500,"5 Identität",Antworten!$D$3:$D$500,"Ja")</f>
        <v/>
      </c>
    </row>
    <row r="53">
      <c r="A53" s="16" t="inlineStr">
        <is>
          <t>6 E-Rezept</t>
        </is>
      </c>
      <c r="B53" s="26">
        <f>COUNTIFS(Antworten!$AB$3:$AB$500,"6 E-Rezept",Antworten!$D$3:$D$500,"Ja")</f>
        <v/>
      </c>
      <c r="C53" s="26">
        <f>COUNTIFS(Antworten!$K$3:$K$500,"6 E-Rezept",Antworten!$D$3:$D$500,"Ja")</f>
        <v/>
      </c>
    </row>
    <row r="54">
      <c r="A54" s="16" t="inlineStr">
        <is>
          <t>7 Die VAU</t>
        </is>
      </c>
      <c r="B54" s="26">
        <f>COUNTIFS(Antworten!$AB$3:$AB$500,"7 Die VAU",Antworten!$D$3:$D$500,"Ja")</f>
        <v/>
      </c>
      <c r="C54" s="26">
        <f>COUNTIFS(Antworten!$K$3:$K$500,"7 Die VAU",Antworten!$D$3:$D$500,"Ja")</f>
        <v/>
      </c>
    </row>
    <row r="55">
      <c r="A55" s="16" t="inlineStr">
        <is>
          <t>8 Kontextschlüssel</t>
        </is>
      </c>
      <c r="B55" s="26">
        <f>COUNTIFS(Antworten!$AB$3:$AB$500,"8 Kontextschlüssel",Antworten!$D$3:$D$500,"Ja")</f>
        <v/>
      </c>
      <c r="C55" s="26">
        <f>COUNTIFS(Antworten!$K$3:$K$500,"8 Kontextschlüssel",Antworten!$D$3:$D$500,"Ja")</f>
        <v/>
      </c>
    </row>
    <row r="56">
      <c r="A56" s="16" t="inlineStr">
        <is>
          <t>9 Berechtigungen</t>
        </is>
      </c>
      <c r="B56" s="26">
        <f>COUNTIFS(Antworten!$AB$3:$AB$500,"9 Berechtigungen",Antworten!$D$3:$D$500,"Ja")</f>
        <v/>
      </c>
      <c r="C56" s="26">
        <f>COUNTIFS(Antworten!$K$3:$K$500,"9 Berechtigungen",Antworten!$D$3:$D$500,"Ja")</f>
        <v/>
      </c>
    </row>
    <row r="57">
      <c r="A57" s="16" t="inlineStr">
        <is>
          <t>10 Souveränität</t>
        </is>
      </c>
      <c r="B57" s="26">
        <f>COUNTIFS(Antworten!$AB$3:$AB$500,"10 Souveränität",Antworten!$D$3:$D$500,"Ja")</f>
        <v/>
      </c>
      <c r="C57" s="26">
        <f>COUNTIFS(Antworten!$K$3:$K$500,"10 Souveränität",Antworten!$D$3:$D$500,"Ja")</f>
        <v/>
      </c>
    </row>
    <row r="58">
      <c r="A58" s="16" t="inlineStr">
        <is>
          <t>Reward erreicht</t>
        </is>
      </c>
      <c r="B58" s="26">
        <f>COUNTIFS(Antworten!$AB$3:$AB$500,"Reward erreicht",Antworten!$D$3:$D$500,"Ja")</f>
        <v/>
      </c>
      <c r="C58" s="26">
        <f>COUNTIFS(Antworten!$K$3:$K$500,"Reward erreicht",Antworten!$D$3:$D$500,"Ja")</f>
        <v/>
      </c>
    </row>
    <row r="60">
      <c r="A60" s="15" t="inlineStr">
        <is>
          <t>Was hat gestört? (Q24, Mehrfachnennung)</t>
        </is>
      </c>
    </row>
    <row r="61">
      <c r="A61" s="22" t="inlineStr">
        <is>
          <t>Störfaktor</t>
        </is>
      </c>
      <c r="B61" s="22" t="inlineStr">
        <is>
          <t>Nennungen</t>
        </is>
      </c>
      <c r="C61" s="22" t="inlineStr">
        <is>
          <t>Anteil der Befragten</t>
        </is>
      </c>
    </row>
    <row r="62">
      <c r="A62" s="16" t="inlineStr">
        <is>
          <t>Steuerung träge</t>
        </is>
      </c>
      <c r="B62" s="26">
        <f>COUNTIFS(Antworten!$AC$3:$AC$500,"*Steuerung träge*",Antworten!$D$3:$D$500,"Ja")</f>
        <v/>
      </c>
      <c r="C62" s="27">
        <f>IFERROR(B62/COUNTIF(Antworten!$D$3:$D$500,"Ja"),"")</f>
        <v/>
      </c>
    </row>
    <row r="63">
      <c r="A63" s="16" t="inlineStr">
        <is>
          <t>Zu schwer</t>
        </is>
      </c>
      <c r="B63" s="26">
        <f>COUNTIFS(Antworten!$AC$3:$AC$500,"*Zu schwer*",Antworten!$D$3:$D$500,"Ja")</f>
        <v/>
      </c>
      <c r="C63" s="27">
        <f>IFERROR(B63/COUNTIF(Antworten!$D$3:$D$500,"Ja"),"")</f>
        <v/>
      </c>
    </row>
    <row r="64">
      <c r="A64" s="16" t="inlineStr">
        <is>
          <t>Zu leicht</t>
        </is>
      </c>
      <c r="B64" s="26">
        <f>COUNTIFS(Antworten!$AC$3:$AC$500,"*Zu leicht*",Antworten!$D$3:$D$500,"Ja")</f>
        <v/>
      </c>
      <c r="C64" s="27">
        <f>IFERROR(B64/COUNTIF(Antworten!$D$3:$D$500,"Ja"),"")</f>
        <v/>
      </c>
    </row>
    <row r="65">
      <c r="A65" s="16" t="inlineStr">
        <is>
          <t>Zu viel Text</t>
        </is>
      </c>
      <c r="B65" s="26">
        <f>COUNTIFS(Antworten!$AC$3:$AC$500,"*Zu viel Text*",Antworten!$D$3:$D$500,"Ja")</f>
        <v/>
      </c>
      <c r="C65" s="27">
        <f>IFERROR(B65/COUNTIF(Antworten!$D$3:$D$500,"Ja"),"")</f>
        <v/>
      </c>
    </row>
    <row r="66">
      <c r="A66" s="16" t="inlineStr">
        <is>
          <t>Text zu klein</t>
        </is>
      </c>
      <c r="B66" s="26">
        <f>COUNTIFS(Antworten!$AC$3:$AC$500,"*Text zu klein*",Antworten!$D$3:$D$500,"Ja")</f>
        <v/>
      </c>
      <c r="C66" s="27">
        <f>IFERROR(B66/COUNTIF(Antworten!$D$3:$D$500,"Ja"),"")</f>
        <v/>
      </c>
    </row>
    <row r="67">
      <c r="A67" s="16" t="inlineStr">
        <is>
          <t>Musik / Klang</t>
        </is>
      </c>
      <c r="B67" s="26">
        <f>COUNTIFS(Antworten!$AC$3:$AC$500,"*Musik / Klang*",Antworten!$D$3:$D$500,"Ja")</f>
        <v/>
      </c>
      <c r="C67" s="27">
        <f>IFERROR(B67/COUNTIF(Antworten!$D$3:$D$500,"Ja"),"")</f>
        <v/>
      </c>
    </row>
    <row r="68">
      <c r="A68" s="16" t="inlineStr">
        <is>
          <t>Sprachfehler</t>
        </is>
      </c>
      <c r="B68" s="26">
        <f>COUNTIFS(Antworten!$AC$3:$AC$500,"*Sprachfehler*",Antworten!$D$3:$D$500,"Ja")</f>
        <v/>
      </c>
      <c r="C68" s="27">
        <f>IFERROR(B68/COUNTIF(Antworten!$D$3:$D$500,"Ja"),"")</f>
        <v/>
      </c>
    </row>
    <row r="69">
      <c r="A69" s="16" t="inlineStr">
        <is>
          <t>Orientierung verloren</t>
        </is>
      </c>
      <c r="B69" s="26">
        <f>COUNTIFS(Antworten!$AC$3:$AC$500,"*Orientierung verloren*",Antworten!$D$3:$D$500,"Ja")</f>
        <v/>
      </c>
      <c r="C69" s="27">
        <f>IFERROR(B69/COUNTIF(Antworten!$D$3:$D$500,"Ja"),"")</f>
        <v/>
      </c>
    </row>
    <row r="70">
      <c r="A70" s="16" t="inlineStr">
        <is>
          <t>Technikproblem</t>
        </is>
      </c>
      <c r="B70" s="26">
        <f>COUNTIFS(Antworten!$AC$3:$AC$500,"*Technikproblem*",Antworten!$D$3:$D$500,"Ja")</f>
        <v/>
      </c>
      <c r="C70" s="27">
        <f>IFERROR(B70/COUNTIF(Antworten!$D$3:$D$500,"Ja"),"")</f>
        <v/>
      </c>
    </row>
    <row r="71">
      <c r="A71" s="16" t="inlineStr">
        <is>
          <t>Nichts gestört</t>
        </is>
      </c>
      <c r="B71" s="26">
        <f>COUNTIFS(Antworten!$AC$3:$AC$500,"*Nichts gestört*",Antworten!$D$3:$D$500,"Ja")</f>
        <v/>
      </c>
      <c r="C71" s="27">
        <f>IFERROR(B71/COUNTIF(Antworten!$D$3:$D$500,"Ja"),"")</f>
        <v/>
      </c>
    </row>
    <row r="73">
      <c r="A73" s="15" t="inlineStr">
        <is>
          <t>Ø Spaß und Ø Steuerung nach Bedienung (Q5) und Sprache (Q6)</t>
        </is>
      </c>
    </row>
    <row r="74">
      <c r="A74" s="22" t="inlineStr">
        <is>
          <t>Segment</t>
        </is>
      </c>
      <c r="B74" s="22" t="inlineStr">
        <is>
          <t>n</t>
        </is>
      </c>
      <c r="C74" s="22" t="inlineStr">
        <is>
          <t>Ø Spaß</t>
        </is>
      </c>
      <c r="D74" s="22" t="inlineStr">
        <is>
          <t>Ø Steuerung klar</t>
        </is>
      </c>
      <c r="E74" s="22" t="inlineStr">
        <is>
          <t>Ø Schwierigkeit passend</t>
        </is>
      </c>
    </row>
    <row r="75">
      <c r="A75" s="16" t="inlineStr">
        <is>
          <t>Bedienung: Tastatur</t>
        </is>
      </c>
      <c r="B75" s="26">
        <f>COUNTIFS(Antworten!$I$3:$I$500,"Tastatur",Antworten!$D$3:$D$500,"Ja")</f>
        <v/>
      </c>
      <c r="C75" s="30">
        <f>IFERROR(SUMIFS(Antworten!$M$3:$M$500,Antworten!$I$3:$I$500,"Tastatur",Antworten!$D$3:$D$500,"Ja")/COUNTIFS(Antworten!$M$3:$M$500,"&gt;=0",Antworten!$I$3:$I$500,"Tastatur",Antworten!$D$3:$D$500,"Ja"),"")</f>
        <v/>
      </c>
      <c r="D75" s="30">
        <f>IFERROR(SUMIFS(Antworten!$N$3:$N$500,Antworten!$I$3:$I$500,"Tastatur",Antworten!$D$3:$D$500,"Ja")/COUNTIFS(Antworten!$N$3:$N$500,"&gt;=0",Antworten!$I$3:$I$500,"Tastatur",Antworten!$D$3:$D$500,"Ja"),"")</f>
        <v/>
      </c>
      <c r="E75" s="30">
        <f>IFERROR(SUMIFS(Antworten!$O$3:$O$500,Antworten!$I$3:$I$500,"Tastatur",Antworten!$D$3:$D$500,"Ja")/COUNTIFS(Antworten!$O$3:$O$500,"&gt;=0",Antworten!$I$3:$I$500,"Tastatur",Antworten!$D$3:$D$500,"Ja"),"")</f>
        <v/>
      </c>
    </row>
    <row r="76">
      <c r="A76" s="16" t="inlineStr">
        <is>
          <t>Bedienung: Arcade-Knöpfe</t>
        </is>
      </c>
      <c r="B76" s="26">
        <f>COUNTIFS(Antworten!$I$3:$I$500,"Arcade-Knöpfe",Antworten!$D$3:$D$500,"Ja")</f>
        <v/>
      </c>
      <c r="C76" s="30">
        <f>IFERROR(SUMIFS(Antworten!$M$3:$M$500,Antworten!$I$3:$I$500,"Arcade-Knöpfe",Antworten!$D$3:$D$500,"Ja")/COUNTIFS(Antworten!$M$3:$M$500,"&gt;=0",Antworten!$I$3:$I$500,"Arcade-Knöpfe",Antworten!$D$3:$D$500,"Ja"),"")</f>
        <v/>
      </c>
      <c r="D76" s="30">
        <f>IFERROR(SUMIFS(Antworten!$N$3:$N$500,Antworten!$I$3:$I$500,"Arcade-Knöpfe",Antworten!$D$3:$D$500,"Ja")/COUNTIFS(Antworten!$N$3:$N$500,"&gt;=0",Antworten!$I$3:$I$500,"Arcade-Knöpfe",Antworten!$D$3:$D$500,"Ja"),"")</f>
        <v/>
      </c>
      <c r="E76" s="30">
        <f>IFERROR(SUMIFS(Antworten!$O$3:$O$500,Antworten!$I$3:$I$500,"Arcade-Knöpfe",Antworten!$D$3:$D$500,"Ja")/COUNTIFS(Antworten!$O$3:$O$500,"&gt;=0",Antworten!$I$3:$I$500,"Arcade-Knöpfe",Antworten!$D$3:$D$500,"Ja"),"")</f>
        <v/>
      </c>
    </row>
    <row r="77">
      <c r="A77" s="16" t="inlineStr">
        <is>
          <t>Bedienung: Touch</t>
        </is>
      </c>
      <c r="B77" s="26">
        <f>COUNTIFS(Antworten!$I$3:$I$500,"Touch",Antworten!$D$3:$D$500,"Ja")</f>
        <v/>
      </c>
      <c r="C77" s="30">
        <f>IFERROR(SUMIFS(Antworten!$M$3:$M$500,Antworten!$I$3:$I$500,"Touch",Antworten!$D$3:$D$500,"Ja")/COUNTIFS(Antworten!$M$3:$M$500,"&gt;=0",Antworten!$I$3:$I$500,"Touch",Antworten!$D$3:$D$500,"Ja"),"")</f>
        <v/>
      </c>
      <c r="D77" s="30">
        <f>IFERROR(SUMIFS(Antworten!$N$3:$N$500,Antworten!$I$3:$I$500,"Touch",Antworten!$D$3:$D$500,"Ja")/COUNTIFS(Antworten!$N$3:$N$500,"&gt;=0",Antworten!$I$3:$I$500,"Touch",Antworten!$D$3:$D$500,"Ja"),"")</f>
        <v/>
      </c>
      <c r="E77" s="30">
        <f>IFERROR(SUMIFS(Antworten!$O$3:$O$500,Antworten!$I$3:$I$500,"Touch",Antworten!$D$3:$D$500,"Ja")/COUNTIFS(Antworten!$O$3:$O$500,"&gt;=0",Antworten!$I$3:$I$500,"Touch",Antworten!$D$3:$D$500,"Ja"),"")</f>
        <v/>
      </c>
    </row>
    <row r="78">
      <c r="A78" s="16" t="inlineStr">
        <is>
          <t>Sprache: Deutsch</t>
        </is>
      </c>
      <c r="B78" s="26">
        <f>COUNTIFS(Antworten!$J$3:$J$500,"Deutsch",Antworten!$D$3:$D$500,"Ja")</f>
        <v/>
      </c>
      <c r="C78" s="30">
        <f>IFERROR(SUMIFS(Antworten!$M$3:$M$500,Antworten!$J$3:$J$500,"Deutsch",Antworten!$D$3:$D$500,"Ja")/COUNTIFS(Antworten!$M$3:$M$500,"&gt;=0",Antworten!$J$3:$J$500,"Deutsch",Antworten!$D$3:$D$500,"Ja"),"")</f>
        <v/>
      </c>
      <c r="D78" s="30">
        <f>IFERROR(SUMIFS(Antworten!$N$3:$N$500,Antworten!$J$3:$J$500,"Deutsch",Antworten!$D$3:$D$500,"Ja")/COUNTIFS(Antworten!$N$3:$N$500,"&gt;=0",Antworten!$J$3:$J$500,"Deutsch",Antworten!$D$3:$D$500,"Ja"),"")</f>
        <v/>
      </c>
      <c r="E78" s="30">
        <f>IFERROR(SUMIFS(Antworten!$O$3:$O$500,Antworten!$J$3:$J$500,"Deutsch",Antworten!$D$3:$D$500,"Ja")/COUNTIFS(Antworten!$O$3:$O$500,"&gt;=0",Antworten!$J$3:$J$500,"Deutsch",Antworten!$D$3:$D$500,"Ja"),"")</f>
        <v/>
      </c>
    </row>
    <row r="79">
      <c r="A79" s="16" t="inlineStr">
        <is>
          <t>Sprache: Englisch</t>
        </is>
      </c>
      <c r="B79" s="26">
        <f>COUNTIFS(Antworten!$J$3:$J$500,"Englisch",Antworten!$D$3:$D$500,"Ja")</f>
        <v/>
      </c>
      <c r="C79" s="30">
        <f>IFERROR(SUMIFS(Antworten!$M$3:$M$500,Antworten!$J$3:$J$500,"Englisch",Antworten!$D$3:$D$500,"Ja")/COUNTIFS(Antworten!$M$3:$M$500,"&gt;=0",Antworten!$J$3:$J$500,"Englisch",Antworten!$D$3:$D$500,"Ja"),"")</f>
        <v/>
      </c>
      <c r="D79" s="30">
        <f>IFERROR(SUMIFS(Antworten!$N$3:$N$500,Antworten!$J$3:$J$500,"Englisch",Antworten!$D$3:$D$500,"Ja")/COUNTIFS(Antworten!$N$3:$N$500,"&gt;=0",Antworten!$J$3:$J$500,"Englisch",Antworten!$D$3:$D$500,"Ja"),"")</f>
        <v/>
      </c>
      <c r="E79" s="30">
        <f>IFERROR(SUMIFS(Antworten!$O$3:$O$500,Antworten!$J$3:$J$500,"Englisch",Antworten!$D$3:$D$500,"Ja")/COUNTIFS(Antworten!$O$3:$O$500,"&gt;=0",Antworten!$J$3:$J$500,"Englisch",Antworten!$D$3:$D$500,"Ja"),"")</f>
        <v/>
      </c>
    </row>
    <row r="80">
      <c r="A80" s="16" t="inlineStr">
        <is>
          <t>Sprache: Französisch</t>
        </is>
      </c>
      <c r="B80" s="26">
        <f>COUNTIFS(Antworten!$J$3:$J$500,"Französisch",Antworten!$D$3:$D$500,"Ja")</f>
        <v/>
      </c>
      <c r="C80" s="30">
        <f>IFERROR(SUMIFS(Antworten!$M$3:$M$500,Antworten!$J$3:$J$500,"Französisch",Antworten!$D$3:$D$500,"Ja")/COUNTIFS(Antworten!$M$3:$M$500,"&gt;=0",Antworten!$J$3:$J$500,"Französisch",Antworten!$D$3:$D$500,"Ja"),"")</f>
        <v/>
      </c>
      <c r="D80" s="30">
        <f>IFERROR(SUMIFS(Antworten!$N$3:$N$500,Antworten!$J$3:$J$500,"Französisch",Antworten!$D$3:$D$500,"Ja")/COUNTIFS(Antworten!$N$3:$N$500,"&gt;=0",Antworten!$J$3:$J$500,"Französisch",Antworten!$D$3:$D$500,"Ja"),"")</f>
        <v/>
      </c>
      <c r="E80" s="30">
        <f>IFERROR(SUMIFS(Antworten!$O$3:$O$500,Antworten!$J$3:$J$500,"Französisch",Antworten!$D$3:$D$500,"Ja")/COUNTIFS(Antworten!$O$3:$O$500,"&gt;=0",Antworten!$J$3:$J$500,"Französisch",Antworten!$D$3:$D$500,"Ja"),"")</f>
        <v/>
      </c>
    </row>
    <row r="81">
      <c r="A81" s="16" t="inlineStr">
        <is>
          <t>Sprache: Spanisch</t>
        </is>
      </c>
      <c r="B81" s="26">
        <f>COUNTIFS(Antworten!$J$3:$J$500,"Spanisch",Antworten!$D$3:$D$500,"Ja")</f>
        <v/>
      </c>
      <c r="C81" s="30">
        <f>IFERROR(SUMIFS(Antworten!$M$3:$M$500,Antworten!$J$3:$J$500,"Spanisch",Antworten!$D$3:$D$500,"Ja")/COUNTIFS(Antworten!$M$3:$M$500,"&gt;=0",Antworten!$J$3:$J$500,"Spanisch",Antworten!$D$3:$D$500,"Ja"),"")</f>
        <v/>
      </c>
      <c r="D81" s="30">
        <f>IFERROR(SUMIFS(Antworten!$N$3:$N$500,Antworten!$J$3:$J$500,"Spanisch",Antworten!$D$3:$D$500,"Ja")/COUNTIFS(Antworten!$N$3:$N$500,"&gt;=0",Antworten!$J$3:$J$500,"Spanisch",Antworten!$D$3:$D$500,"Ja"),"")</f>
        <v/>
      </c>
      <c r="E81" s="30">
        <f>IFERROR(SUMIFS(Antworten!$O$3:$O$500,Antworten!$J$3:$J$500,"Spanisch",Antworten!$D$3:$D$500,"Ja")/COUNTIFS(Antworten!$O$3:$O$500,"&gt;=0",Antworten!$J$3:$J$500,"Spanisch",Antworten!$D$3:$D$500,"Ja"),"")</f>
        <v/>
      </c>
    </row>
    <row r="82">
      <c r="A82" s="16" t="inlineStr">
        <is>
          <t>Sprache: Chinesisch</t>
        </is>
      </c>
      <c r="B82" s="26">
        <f>COUNTIFS(Antworten!$J$3:$J$500,"Chinesisch",Antworten!$D$3:$D$500,"Ja")</f>
        <v/>
      </c>
      <c r="C82" s="30">
        <f>IFERROR(SUMIFS(Antworten!$M$3:$M$500,Antworten!$J$3:$J$500,"Chinesisch",Antworten!$D$3:$D$500,"Ja")/COUNTIFS(Antworten!$M$3:$M$500,"&gt;=0",Antworten!$J$3:$J$500,"Chinesisch",Antworten!$D$3:$D$500,"Ja"),"")</f>
        <v/>
      </c>
      <c r="D82" s="30">
        <f>IFERROR(SUMIFS(Antworten!$N$3:$N$500,Antworten!$J$3:$J$500,"Chinesisch",Antworten!$D$3:$D$500,"Ja")/COUNTIFS(Antworten!$N$3:$N$500,"&gt;=0",Antworten!$J$3:$J$500,"Chinesisch",Antworten!$D$3:$D$500,"Ja"),"")</f>
        <v/>
      </c>
      <c r="E82" s="30">
        <f>IFERROR(SUMIFS(Antworten!$O$3:$O$500,Antworten!$J$3:$J$500,"Chinesisch",Antworten!$D$3:$D$500,"Ja")/COUNTIFS(Antworten!$O$3:$O$500,"&gt;=0",Antworten!$J$3:$J$500,"Chinesisch",Antworten!$D$3:$D$500,"Ja"),"")</f>
        <v/>
      </c>
    </row>
    <row r="83">
      <c r="A83" s="16" t="inlineStr">
        <is>
          <t>Sprache: Hindi</t>
        </is>
      </c>
      <c r="B83" s="26">
        <f>COUNTIFS(Antworten!$J$3:$J$500,"Hindi",Antworten!$D$3:$D$500,"Ja")</f>
        <v/>
      </c>
      <c r="C83" s="30">
        <f>IFERROR(SUMIFS(Antworten!$M$3:$M$500,Antworten!$J$3:$J$500,"Hindi",Antworten!$D$3:$D$500,"Ja")/COUNTIFS(Antworten!$M$3:$M$500,"&gt;=0",Antworten!$J$3:$J$500,"Hindi",Antworten!$D$3:$D$500,"Ja"),"")</f>
        <v/>
      </c>
      <c r="D83" s="30">
        <f>IFERROR(SUMIFS(Antworten!$N$3:$N$500,Antworten!$J$3:$J$500,"Hindi",Antworten!$D$3:$D$500,"Ja")/COUNTIFS(Antworten!$N$3:$N$500,"&gt;=0",Antworten!$J$3:$J$500,"Hindi",Antworten!$D$3:$D$500,"Ja"),"")</f>
        <v/>
      </c>
      <c r="E83" s="30">
        <f>IFERROR(SUMIFS(Antworten!$O$3:$O$500,Antworten!$J$3:$J$500,"Hindi",Antworten!$D$3:$D$500,"Ja")/COUNTIFS(Antworten!$O$3:$O$500,"&gt;=0",Antworten!$J$3:$J$500,"Hindi",Antworten!$D$3:$D$500,"Ja"),"")</f>
        <v/>
      </c>
    </row>
  </sheetData>
  <conditionalFormatting sqref="B15:B24">
    <cfRule type="colorScale" priority="1">
      <colorScale>
        <cfvo type="num" val="1"/>
        <cfvo type="num" val="3"/>
        <cfvo type="num" val="5"/>
        <color rgb="00E0301E"/>
        <color rgb="00FFB600"/>
        <color rgb="0063BE7B"/>
      </colorScale>
    </cfRule>
  </conditionalFormatting>
  <conditionalFormatting sqref="C48:C58">
    <cfRule type="dataBar" priority="2">
      <dataBar>
        <cfvo type="num" val="0"/>
        <cfvo type="max"/>
        <color rgb="00EB8C00"/>
      </dataBar>
    </cfRule>
  </conditionalFormatting>
  <conditionalFormatting sqref="B62:B71">
    <cfRule type="dataBar" priority="3">
      <dataBar>
        <cfvo type="num" val="0"/>
        <cfvo type="max"/>
        <color rgb="00E0301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5" customWidth="1" min="8" max="8"/>
    <col width="15" customWidth="1" min="9" max="9"/>
    <col width="14" customWidth="1" min="10" max="10"/>
    <col width="14" customWidth="1" min="11" max="11"/>
    <col width="23" customWidth="1" min="12" max="12"/>
    <col width="16" customWidth="1" min="14" max="14"/>
    <col width="70" customWidth="1" min="15" max="15"/>
  </cols>
  <sheetData>
    <row r="1" ht="32" customHeight="1">
      <c r="A1" s="31" t="inlineStr">
        <is>
          <t>Auswahllisten für die Dropdowns in „Antworten“. Einträge dürfen ergänzt werden (dann Zeilen unten anhängen); Reihenfolge und Schreibweise werden von der Auswertung wörtlich verglichen.</t>
        </is>
      </c>
    </row>
    <row r="3">
      <c r="A3" s="32" t="inlineStr">
        <is>
          <t>Gültig</t>
        </is>
      </c>
      <c r="B3" s="32" t="inlineStr">
        <is>
          <t>Rolle</t>
        </is>
      </c>
      <c r="C3" s="32" t="inlineStr">
        <is>
          <t>Altersgruppe</t>
        </is>
      </c>
      <c r="D3" s="32" t="inlineStr">
        <is>
          <t>Spielhäufigkeit</t>
        </is>
      </c>
      <c r="E3" s="32" t="inlineStr">
        <is>
          <t>Bedienung</t>
        </is>
      </c>
      <c r="F3" s="32" t="inlineStr">
        <is>
          <t>Sprache</t>
        </is>
      </c>
      <c r="G3" s="32" t="inlineStr">
        <is>
          <t>Letzte Station</t>
        </is>
      </c>
      <c r="H3" s="32" t="inlineStr">
        <is>
          <t>Schwierigkeit</t>
        </is>
      </c>
      <c r="I3" s="32" t="inlineStr">
        <is>
          <t>Länge</t>
        </is>
      </c>
      <c r="J3" s="32" t="inlineStr">
        <is>
          <t>Quiz</t>
        </is>
      </c>
      <c r="K3" s="32" t="inlineStr">
        <is>
          <t>Nochmal</t>
        </is>
      </c>
      <c r="L3" s="32" t="inlineStr">
        <is>
          <t>Störfaktoren</t>
        </is>
      </c>
      <c r="N3" s="32" t="inlineStr">
        <is>
          <t>Quiz-Lösungen</t>
        </is>
      </c>
      <c r="O3" s="32" t="inlineStr">
        <is>
          <t>Aussage</t>
        </is>
      </c>
    </row>
    <row r="4">
      <c r="A4" s="7" t="inlineStr">
        <is>
          <t>Ja</t>
        </is>
      </c>
      <c r="B4" s="7" t="inlineStr">
        <is>
          <t>Besucher:in</t>
        </is>
      </c>
      <c r="C4" s="7" t="inlineStr">
        <is>
          <t>unter 20</t>
        </is>
      </c>
      <c r="D4" s="7" t="inlineStr">
        <is>
          <t>nie</t>
        </is>
      </c>
      <c r="E4" s="7" t="inlineStr">
        <is>
          <t>Tastatur</t>
        </is>
      </c>
      <c r="F4" s="7" t="inlineStr">
        <is>
          <t>Deutsch</t>
        </is>
      </c>
      <c r="G4" s="7" t="inlineStr">
        <is>
          <t>1 Stammdaten</t>
        </is>
      </c>
      <c r="H4" s="7" t="inlineStr">
        <is>
          <t>zu leicht</t>
        </is>
      </c>
      <c r="I4" s="7" t="inlineStr">
        <is>
          <t>zu kurz</t>
        </is>
      </c>
      <c r="J4" s="7" t="inlineStr">
        <is>
          <t>richtig</t>
        </is>
      </c>
      <c r="K4" s="7" t="inlineStr">
        <is>
          <t>Ja</t>
        </is>
      </c>
      <c r="L4" s="7" t="inlineStr">
        <is>
          <t>Steuerung träge</t>
        </is>
      </c>
      <c r="N4" s="33" t="inlineStr">
        <is>
          <t>falsch</t>
        </is>
      </c>
      <c r="O4" s="7" t="inlineStr">
        <is>
          <t>Q18: Auf der Gesundheitskarte (eGK) sind meine Rezepte gespeichert.</t>
        </is>
      </c>
    </row>
    <row r="5">
      <c r="A5" s="7" t="inlineStr">
        <is>
          <t>Nein</t>
        </is>
      </c>
      <c r="B5" s="7" t="inlineStr">
        <is>
          <t>PwC-Mitarbeiter:in</t>
        </is>
      </c>
      <c r="C5" s="7" t="inlineStr">
        <is>
          <t>20-29</t>
        </is>
      </c>
      <c r="D5" s="7" t="inlineStr">
        <is>
          <t>selten</t>
        </is>
      </c>
      <c r="E5" s="7" t="inlineStr">
        <is>
          <t>Arcade-Knöpfe</t>
        </is>
      </c>
      <c r="F5" s="7" t="inlineStr">
        <is>
          <t>Englisch</t>
        </is>
      </c>
      <c r="G5" s="7" t="inlineStr">
        <is>
          <t>2 Kartenterminal</t>
        </is>
      </c>
      <c r="H5" s="7" t="inlineStr">
        <is>
          <t>genau richtig</t>
        </is>
      </c>
      <c r="I5" s="7" t="inlineStr">
        <is>
          <t>genau richtig</t>
        </is>
      </c>
      <c r="J5" s="7" t="inlineStr">
        <is>
          <t>falsch</t>
        </is>
      </c>
      <c r="K5" s="7" t="inlineStr">
        <is>
          <t>Vielleicht</t>
        </is>
      </c>
      <c r="L5" s="7" t="inlineStr">
        <is>
          <t>Zu schwer</t>
        </is>
      </c>
      <c r="N5" s="33" t="inlineStr">
        <is>
          <t>richtig</t>
        </is>
      </c>
      <c r="O5" s="7" t="inlineStr">
        <is>
          <t>Q19: Die VAU ist ein Raum, in dem im Klartext gearbeitet wird, ohne dass der Betreiber mitliest.</t>
        </is>
      </c>
    </row>
    <row r="6">
      <c r="B6" s="7" t="inlineStr">
        <is>
          <t>Kunde / Partner</t>
        </is>
      </c>
      <c r="C6" s="7" t="inlineStr">
        <is>
          <t>30-39</t>
        </is>
      </c>
      <c r="D6" s="7" t="inlineStr">
        <is>
          <t>monatlich</t>
        </is>
      </c>
      <c r="E6" s="7" t="inlineStr">
        <is>
          <t>Touch</t>
        </is>
      </c>
      <c r="F6" s="7" t="inlineStr">
        <is>
          <t>Französisch</t>
        </is>
      </c>
      <c r="G6" s="7" t="inlineStr">
        <is>
          <t>3 KOV Gateway</t>
        </is>
      </c>
      <c r="H6" s="7" t="inlineStr">
        <is>
          <t>zu schwer</t>
        </is>
      </c>
      <c r="I6" s="7" t="inlineStr">
        <is>
          <t>zu lang</t>
        </is>
      </c>
      <c r="J6" s="7" t="inlineStr">
        <is>
          <t>weiß nicht</t>
        </is>
      </c>
      <c r="K6" s="7" t="inlineStr">
        <is>
          <t>Nein</t>
        </is>
      </c>
      <c r="L6" s="7" t="inlineStr">
        <is>
          <t>Zu leicht</t>
        </is>
      </c>
      <c r="N6" s="33" t="inlineStr">
        <is>
          <t>falsch</t>
        </is>
      </c>
      <c r="O6" s="7" t="inlineStr">
        <is>
          <t>Q20: Eine abgelaufene Sitzung schützt weiterhin.</t>
        </is>
      </c>
    </row>
    <row r="7">
      <c r="B7" s="7" t="inlineStr">
        <is>
          <t>Gesundheitswesen</t>
        </is>
      </c>
      <c r="C7" s="7" t="inlineStr">
        <is>
          <t>40-49</t>
        </is>
      </c>
      <c r="D7" s="7" t="inlineStr">
        <is>
          <t>wöchentlich</t>
        </is>
      </c>
      <c r="F7" s="7" t="inlineStr">
        <is>
          <t>Spanisch</t>
        </is>
      </c>
      <c r="G7" s="7" t="inlineStr">
        <is>
          <t>4 Die Hülle</t>
        </is>
      </c>
      <c r="L7" s="7" t="inlineStr">
        <is>
          <t>Zu viel Text</t>
        </is>
      </c>
      <c r="N7" s="33" t="inlineStr">
        <is>
          <t>falsch</t>
        </is>
      </c>
      <c r="O7" s="7" t="inlineStr">
        <is>
          <t>Q21: Die Verschlüsselung ersetzt die Unterschrift (Signatur) des Arztes.</t>
        </is>
      </c>
    </row>
    <row r="8">
      <c r="B8" s="7" t="inlineStr">
        <is>
          <t>Sonstiges</t>
        </is>
      </c>
      <c r="C8" s="7" t="inlineStr">
        <is>
          <t>50-59</t>
        </is>
      </c>
      <c r="D8" s="7" t="inlineStr">
        <is>
          <t>täglich</t>
        </is>
      </c>
      <c r="F8" s="7" t="inlineStr">
        <is>
          <t>Chinesisch</t>
        </is>
      </c>
      <c r="G8" s="7" t="inlineStr">
        <is>
          <t>5 Identität</t>
        </is>
      </c>
      <c r="L8" s="7" t="inlineStr">
        <is>
          <t>Text zu klein</t>
        </is>
      </c>
    </row>
    <row r="9">
      <c r="C9" s="7" t="inlineStr">
        <is>
          <t>60+</t>
        </is>
      </c>
      <c r="F9" s="7" t="inlineStr">
        <is>
          <t>Hindi</t>
        </is>
      </c>
      <c r="G9" s="7" t="inlineStr">
        <is>
          <t>6 E-Rezept</t>
        </is>
      </c>
      <c r="L9" s="7" t="inlineStr">
        <is>
          <t>Musik / Klang</t>
        </is>
      </c>
    </row>
    <row r="10">
      <c r="G10" s="7" t="inlineStr">
        <is>
          <t>7 Die VAU</t>
        </is>
      </c>
      <c r="L10" s="7" t="inlineStr">
        <is>
          <t>Sprachfehler</t>
        </is>
      </c>
    </row>
    <row r="11">
      <c r="G11" s="7" t="inlineStr">
        <is>
          <t>8 Kontextschlüssel</t>
        </is>
      </c>
      <c r="L11" s="7" t="inlineStr">
        <is>
          <t>Orientierung verloren</t>
        </is>
      </c>
    </row>
    <row r="12">
      <c r="G12" s="7" t="inlineStr">
        <is>
          <t>9 Berechtigungen</t>
        </is>
      </c>
      <c r="L12" s="7" t="inlineStr">
        <is>
          <t>Technikproblem</t>
        </is>
      </c>
    </row>
    <row r="13">
      <c r="G13" s="7" t="inlineStr">
        <is>
          <t>10 Souveränität</t>
        </is>
      </c>
      <c r="L13" s="7" t="inlineStr">
        <is>
          <t>Nichts gestört</t>
        </is>
      </c>
    </row>
    <row r="14">
      <c r="G14" s="7" t="inlineStr">
        <is>
          <t>Reward erreicht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0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18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6" customWidth="1" min="11" max="11"/>
    <col width="11" customWidth="1" min="12" max="12"/>
    <col width="10" customWidth="1" min="13" max="13"/>
    <col width="12" customWidth="1" min="14" max="14"/>
    <col width="14" customWidth="1" min="15" max="15"/>
    <col width="12" customWidth="1" min="16" max="16"/>
    <col width="13" customWidth="1" min="17" max="17"/>
    <col width="13" customWidth="1" min="18" max="18"/>
    <col width="10" customWidth="1" min="19" max="19"/>
    <col width="11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0" customWidth="1" min="27" max="27"/>
    <col width="16" customWidth="1" min="28" max="28"/>
    <col width="30" customWidth="1" min="29" max="29"/>
    <col width="34" customWidth="1" min="30" max="30"/>
    <col width="34" customWidth="1" min="31" max="31"/>
    <col width="12" customWidth="1" min="32" max="32"/>
    <col width="12" customWidth="1" min="33" max="33"/>
    <col width="30" customWidth="1" min="34" max="34"/>
  </cols>
  <sheetData>
    <row r="1">
      <c r="A1" s="34" t="inlineStr">
        <is>
          <t>ANTWORTEN — eine Zeile je Person. Gelbe Zellen ausfüllen; Dropdowns über die kleinen Pfeile. „Gültig“ = Ja zählt in der Auswertung. Beispielzeile 3 überschreiben.</t>
        </is>
      </c>
    </row>
    <row r="2" ht="44" customHeight="1">
      <c r="A2" s="22" t="inlineStr">
        <is>
          <t>Nr</t>
        </is>
      </c>
      <c r="B2" s="22" t="inlineStr">
        <is>
          <t>Datum</t>
        </is>
      </c>
      <c r="C2" s="22" t="inlineStr">
        <is>
          <t>Erfasst von</t>
        </is>
      </c>
      <c r="D2" s="22" t="inlineStr">
        <is>
          <t>Gültig</t>
        </is>
      </c>
      <c r="E2" s="22" t="inlineStr">
        <is>
          <t>Rolle</t>
        </is>
      </c>
      <c r="F2" s="22" t="inlineStr">
        <is>
          <t>Altersgruppe</t>
        </is>
      </c>
      <c r="G2" s="22" t="inlineStr">
        <is>
          <t>Spielhäufigkeit</t>
        </is>
      </c>
      <c r="H2" s="22" t="inlineStr">
        <is>
          <t>Vorwissen TI (1-5)</t>
        </is>
      </c>
      <c r="I2" s="22" t="inlineStr">
        <is>
          <t>Bedienung</t>
        </is>
      </c>
      <c r="J2" s="22" t="inlineStr">
        <is>
          <t>Sprache</t>
        </is>
      </c>
      <c r="K2" s="22" t="inlineStr">
        <is>
          <t>Letzte Station</t>
        </is>
      </c>
      <c r="L2" s="22" t="inlineStr">
        <is>
          <t>Spielzeit (min)</t>
        </is>
      </c>
      <c r="M2" s="22" t="inlineStr">
        <is>
          <t>Spaß (1-5)</t>
        </is>
      </c>
      <c r="N2" s="22" t="inlineStr">
        <is>
          <t>Steuerung klar (1-5)</t>
        </is>
      </c>
      <c r="O2" s="22" t="inlineStr">
        <is>
          <t>Schwierigkeit passend (1-5)</t>
        </is>
      </c>
      <c r="P2" s="22" t="inlineStr">
        <is>
          <t>Orientierung (1-5)</t>
        </is>
      </c>
      <c r="Q2" s="22" t="inlineStr">
        <is>
          <t>Briefings hilfreich (1-5)</t>
        </is>
      </c>
      <c r="R2" s="22" t="inlineStr">
        <is>
          <t>Texte verständlich (1-5)</t>
        </is>
      </c>
      <c r="S2" s="22" t="inlineStr">
        <is>
          <t>Grafik (1-5)</t>
        </is>
      </c>
      <c r="T2" s="22" t="inlineStr">
        <is>
          <t>Musik/Klang (1-5)</t>
        </is>
      </c>
      <c r="U2" s="22" t="inlineStr">
        <is>
          <t>Schwierigkeit</t>
        </is>
      </c>
      <c r="V2" s="22" t="inlineStr">
        <is>
          <t>Länge</t>
        </is>
      </c>
      <c r="W2" s="22" t="inlineStr">
        <is>
          <t>Q18 eGK speichert</t>
        </is>
      </c>
      <c r="X2" s="22" t="inlineStr">
        <is>
          <t>Q19 VAU = Raum</t>
        </is>
      </c>
      <c r="Y2" s="22" t="inlineStr">
        <is>
          <t>Q20 Sitzung abgelaufen</t>
        </is>
      </c>
      <c r="Z2" s="22" t="inlineStr">
        <is>
          <t>Q21 Verschl. = Signatur</t>
        </is>
      </c>
      <c r="AA2" s="22" t="inlineStr">
        <is>
          <t>Gelernt (1-5)</t>
        </is>
      </c>
      <c r="AB2" s="22" t="inlineStr">
        <is>
          <t>Lehrreichste Station</t>
        </is>
      </c>
      <c r="AC2" s="22" t="inlineStr">
        <is>
          <t>Störfaktoren (mehrere; durch ; trennen)</t>
        </is>
      </c>
      <c r="AD2" s="22" t="inlineStr">
        <is>
          <t>Was hat gefallen?</t>
        </is>
      </c>
      <c r="AE2" s="22" t="inlineStr">
        <is>
          <t>Was ändern?</t>
        </is>
      </c>
      <c r="AF2" s="22" t="inlineStr">
        <is>
          <t>Weiterempfehlung (0-10)</t>
        </is>
      </c>
      <c r="AG2" s="22" t="inlineStr">
        <is>
          <t>Nochmal spielen?</t>
        </is>
      </c>
      <c r="AH2" s="22" t="inlineStr">
        <is>
          <t>Bemerkung</t>
        </is>
      </c>
    </row>
    <row r="3">
      <c r="A3" s="35" t="n">
        <v>1</v>
      </c>
      <c r="B3" s="36" t="n">
        <v>46272</v>
      </c>
      <c r="C3" s="37" t="inlineStr">
        <is>
          <t>A. Muster</t>
        </is>
      </c>
      <c r="D3" s="35" t="inlineStr">
        <is>
          <t>Nein</t>
        </is>
      </c>
      <c r="E3" s="35" t="inlineStr">
        <is>
          <t>Besucher:in</t>
        </is>
      </c>
      <c r="F3" s="35" t="inlineStr">
        <is>
          <t>30-39</t>
        </is>
      </c>
      <c r="G3" s="35" t="inlineStr">
        <is>
          <t>selten</t>
        </is>
      </c>
      <c r="H3" s="35" t="n">
        <v>2</v>
      </c>
      <c r="I3" s="35" t="inlineStr">
        <is>
          <t>Touch</t>
        </is>
      </c>
      <c r="J3" s="35" t="inlineStr">
        <is>
          <t>Deutsch</t>
        </is>
      </c>
      <c r="K3" s="35" t="inlineStr">
        <is>
          <t>7 Die VAU</t>
        </is>
      </c>
      <c r="L3" s="35" t="n">
        <v>12</v>
      </c>
      <c r="M3" s="35" t="n">
        <v>4</v>
      </c>
      <c r="N3" s="35" t="n">
        <v>3</v>
      </c>
      <c r="O3" s="35" t="n">
        <v>4</v>
      </c>
      <c r="P3" s="35" t="n">
        <v>3</v>
      </c>
      <c r="Q3" s="35" t="n">
        <v>5</v>
      </c>
      <c r="R3" s="35" t="n">
        <v>4</v>
      </c>
      <c r="S3" s="35" t="n">
        <v>5</v>
      </c>
      <c r="T3" s="35" t="n">
        <v>4</v>
      </c>
      <c r="U3" s="35" t="inlineStr">
        <is>
          <t>genau richtig</t>
        </is>
      </c>
      <c r="V3" s="35" t="inlineStr">
        <is>
          <t>genau richtig</t>
        </is>
      </c>
      <c r="W3" s="35" t="inlineStr">
        <is>
          <t>falsch</t>
        </is>
      </c>
      <c r="X3" s="35" t="inlineStr">
        <is>
          <t>richtig</t>
        </is>
      </c>
      <c r="Y3" s="35" t="inlineStr">
        <is>
          <t>falsch</t>
        </is>
      </c>
      <c r="Z3" s="35" t="inlineStr">
        <is>
          <t>weiß nicht</t>
        </is>
      </c>
      <c r="AA3" s="35" t="n">
        <v>4</v>
      </c>
      <c r="AB3" s="35" t="inlineStr">
        <is>
          <t>7 Die VAU</t>
        </is>
      </c>
      <c r="AC3" s="37" t="inlineStr">
        <is>
          <t>Steuerung träge; Text zu klein</t>
        </is>
      </c>
      <c r="AD3" s="37" t="inlineStr">
        <is>
          <t>Die Sprechblasen von REZI und die Blende zwischen den Screens.</t>
        </is>
      </c>
      <c r="AE3" s="37" t="inlineStr">
        <is>
          <t>Sprung auf Touch fühlt sich verzögert an.</t>
        </is>
      </c>
      <c r="AF3" s="35" t="n">
        <v>8</v>
      </c>
      <c r="AG3" s="35" t="inlineStr">
        <is>
          <t>Ja</t>
        </is>
      </c>
      <c r="AH3" s="37" t="inlineStr">
        <is>
          <t>Beispielzeile — mit der ersten echten Antwort überschreiben oder Gültig = Nein lassen</t>
        </is>
      </c>
    </row>
    <row r="4">
      <c r="A4" s="35" t="n"/>
      <c r="B4" s="36" t="n"/>
      <c r="C4" s="37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7" t="n"/>
      <c r="AD4" s="37" t="n"/>
      <c r="AE4" s="37" t="n"/>
      <c r="AF4" s="35" t="n"/>
      <c r="AG4" s="35" t="n"/>
      <c r="AH4" s="37" t="n"/>
    </row>
    <row r="5">
      <c r="A5" s="35" t="n"/>
      <c r="B5" s="36" t="n"/>
      <c r="C5" s="37" t="n"/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7" t="n"/>
      <c r="AD5" s="37" t="n"/>
      <c r="AE5" s="37" t="n"/>
      <c r="AF5" s="35" t="n"/>
      <c r="AG5" s="35" t="n"/>
      <c r="AH5" s="37" t="n"/>
    </row>
    <row r="6">
      <c r="A6" s="35" t="n"/>
      <c r="B6" s="36" t="n"/>
      <c r="C6" s="37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7" t="n"/>
      <c r="AD6" s="37" t="n"/>
      <c r="AE6" s="37" t="n"/>
      <c r="AF6" s="35" t="n"/>
      <c r="AG6" s="35" t="n"/>
      <c r="AH6" s="37" t="n"/>
    </row>
    <row r="7">
      <c r="A7" s="35" t="n"/>
      <c r="B7" s="36" t="n"/>
      <c r="C7" s="37" t="n"/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7" t="n"/>
      <c r="AD7" s="37" t="n"/>
      <c r="AE7" s="37" t="n"/>
      <c r="AF7" s="35" t="n"/>
      <c r="AG7" s="35" t="n"/>
      <c r="AH7" s="37" t="n"/>
    </row>
    <row r="8">
      <c r="A8" s="35" t="n"/>
      <c r="B8" s="36" t="n"/>
      <c r="C8" s="37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7" t="n"/>
      <c r="AD8" s="37" t="n"/>
      <c r="AE8" s="37" t="n"/>
      <c r="AF8" s="35" t="n"/>
      <c r="AG8" s="35" t="n"/>
      <c r="AH8" s="37" t="n"/>
    </row>
    <row r="9">
      <c r="A9" s="35" t="n"/>
      <c r="B9" s="36" t="n"/>
      <c r="C9" s="37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7" t="n"/>
      <c r="AD9" s="37" t="n"/>
      <c r="AE9" s="37" t="n"/>
      <c r="AF9" s="35" t="n"/>
      <c r="AG9" s="35" t="n"/>
      <c r="AH9" s="37" t="n"/>
    </row>
    <row r="10">
      <c r="A10" s="35" t="n"/>
      <c r="B10" s="36" t="n"/>
      <c r="C10" s="37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7" t="n"/>
      <c r="AD10" s="37" t="n"/>
      <c r="AE10" s="37" t="n"/>
      <c r="AF10" s="35" t="n"/>
      <c r="AG10" s="35" t="n"/>
      <c r="AH10" s="37" t="n"/>
    </row>
    <row r="11">
      <c r="A11" s="35" t="n"/>
      <c r="B11" s="36" t="n"/>
      <c r="C11" s="37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7" t="n"/>
      <c r="AD11" s="37" t="n"/>
      <c r="AE11" s="37" t="n"/>
      <c r="AF11" s="35" t="n"/>
      <c r="AG11" s="35" t="n"/>
      <c r="AH11" s="37" t="n"/>
    </row>
    <row r="12">
      <c r="A12" s="35" t="n"/>
      <c r="B12" s="36" t="n"/>
      <c r="C12" s="37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5" t="n"/>
      <c r="AC12" s="37" t="n"/>
      <c r="AD12" s="37" t="n"/>
      <c r="AE12" s="37" t="n"/>
      <c r="AF12" s="35" t="n"/>
      <c r="AG12" s="35" t="n"/>
      <c r="AH12" s="37" t="n"/>
    </row>
    <row r="13">
      <c r="A13" s="35" t="n"/>
      <c r="B13" s="36" t="n"/>
      <c r="C13" s="37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7" t="n"/>
      <c r="AD13" s="37" t="n"/>
      <c r="AE13" s="37" t="n"/>
      <c r="AF13" s="35" t="n"/>
      <c r="AG13" s="35" t="n"/>
      <c r="AH13" s="37" t="n"/>
    </row>
    <row r="14">
      <c r="A14" s="35" t="n"/>
      <c r="B14" s="36" t="n"/>
      <c r="C14" s="37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7" t="n"/>
      <c r="AD14" s="37" t="n"/>
      <c r="AE14" s="37" t="n"/>
      <c r="AF14" s="35" t="n"/>
      <c r="AG14" s="35" t="n"/>
      <c r="AH14" s="37" t="n"/>
    </row>
    <row r="15">
      <c r="A15" s="35" t="n"/>
      <c r="B15" s="36" t="n"/>
      <c r="C15" s="37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7" t="n"/>
      <c r="AD15" s="37" t="n"/>
      <c r="AE15" s="37" t="n"/>
      <c r="AF15" s="35" t="n"/>
      <c r="AG15" s="35" t="n"/>
      <c r="AH15" s="37" t="n"/>
    </row>
    <row r="16">
      <c r="A16" s="35" t="n"/>
      <c r="B16" s="36" t="n"/>
      <c r="C16" s="37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7" t="n"/>
      <c r="AD16" s="37" t="n"/>
      <c r="AE16" s="37" t="n"/>
      <c r="AF16" s="35" t="n"/>
      <c r="AG16" s="35" t="n"/>
      <c r="AH16" s="37" t="n"/>
    </row>
    <row r="17">
      <c r="A17" s="35" t="n"/>
      <c r="B17" s="36" t="n"/>
      <c r="C17" s="37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7" t="n"/>
      <c r="AD17" s="37" t="n"/>
      <c r="AE17" s="37" t="n"/>
      <c r="AF17" s="35" t="n"/>
      <c r="AG17" s="35" t="n"/>
      <c r="AH17" s="37" t="n"/>
    </row>
    <row r="18">
      <c r="A18" s="35" t="n"/>
      <c r="B18" s="36" t="n"/>
      <c r="C18" s="37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7" t="n"/>
      <c r="AD18" s="37" t="n"/>
      <c r="AE18" s="37" t="n"/>
      <c r="AF18" s="35" t="n"/>
      <c r="AG18" s="35" t="n"/>
      <c r="AH18" s="37" t="n"/>
    </row>
    <row r="19">
      <c r="A19" s="35" t="n"/>
      <c r="B19" s="36" t="n"/>
      <c r="C19" s="37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7" t="n"/>
      <c r="AD19" s="37" t="n"/>
      <c r="AE19" s="37" t="n"/>
      <c r="AF19" s="35" t="n"/>
      <c r="AG19" s="35" t="n"/>
      <c r="AH19" s="37" t="n"/>
    </row>
    <row r="20">
      <c r="A20" s="35" t="n"/>
      <c r="B20" s="36" t="n"/>
      <c r="C20" s="37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7" t="n"/>
      <c r="AD20" s="37" t="n"/>
      <c r="AE20" s="37" t="n"/>
      <c r="AF20" s="35" t="n"/>
      <c r="AG20" s="35" t="n"/>
      <c r="AH20" s="37" t="n"/>
    </row>
    <row r="21">
      <c r="A21" s="35" t="n"/>
      <c r="B21" s="36" t="n"/>
      <c r="C21" s="37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7" t="n"/>
      <c r="AD21" s="37" t="n"/>
      <c r="AE21" s="37" t="n"/>
      <c r="AF21" s="35" t="n"/>
      <c r="AG21" s="35" t="n"/>
      <c r="AH21" s="37" t="n"/>
    </row>
    <row r="22">
      <c r="A22" s="35" t="n"/>
      <c r="B22" s="36" t="n"/>
      <c r="C22" s="37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7" t="n"/>
      <c r="AD22" s="37" t="n"/>
      <c r="AE22" s="37" t="n"/>
      <c r="AF22" s="35" t="n"/>
      <c r="AG22" s="35" t="n"/>
      <c r="AH22" s="37" t="n"/>
    </row>
    <row r="23">
      <c r="A23" s="35" t="n"/>
      <c r="B23" s="36" t="n"/>
      <c r="C23" s="37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7" t="n"/>
      <c r="AD23" s="37" t="n"/>
      <c r="AE23" s="37" t="n"/>
      <c r="AF23" s="35" t="n"/>
      <c r="AG23" s="35" t="n"/>
      <c r="AH23" s="37" t="n"/>
    </row>
    <row r="24">
      <c r="A24" s="35" t="n"/>
      <c r="B24" s="36" t="n"/>
      <c r="C24" s="37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7" t="n"/>
      <c r="AD24" s="37" t="n"/>
      <c r="AE24" s="37" t="n"/>
      <c r="AF24" s="35" t="n"/>
      <c r="AG24" s="35" t="n"/>
      <c r="AH24" s="37" t="n"/>
    </row>
    <row r="25">
      <c r="A25" s="35" t="n"/>
      <c r="B25" s="36" t="n"/>
      <c r="C25" s="37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7" t="n"/>
      <c r="AD25" s="37" t="n"/>
      <c r="AE25" s="37" t="n"/>
      <c r="AF25" s="35" t="n"/>
      <c r="AG25" s="35" t="n"/>
      <c r="AH25" s="37" t="n"/>
    </row>
    <row r="26">
      <c r="A26" s="35" t="n"/>
      <c r="B26" s="36" t="n"/>
      <c r="C26" s="37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7" t="n"/>
      <c r="AD26" s="37" t="n"/>
      <c r="AE26" s="37" t="n"/>
      <c r="AF26" s="35" t="n"/>
      <c r="AG26" s="35" t="n"/>
      <c r="AH26" s="37" t="n"/>
    </row>
    <row r="27">
      <c r="A27" s="35" t="n"/>
      <c r="B27" s="36" t="n"/>
      <c r="C27" s="37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7" t="n"/>
      <c r="AD27" s="37" t="n"/>
      <c r="AE27" s="37" t="n"/>
      <c r="AF27" s="35" t="n"/>
      <c r="AG27" s="35" t="n"/>
      <c r="AH27" s="37" t="n"/>
    </row>
    <row r="28">
      <c r="A28" s="35" t="n"/>
      <c r="B28" s="36" t="n"/>
      <c r="C28" s="37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7" t="n"/>
      <c r="AD28" s="37" t="n"/>
      <c r="AE28" s="37" t="n"/>
      <c r="AF28" s="35" t="n"/>
      <c r="AG28" s="35" t="n"/>
      <c r="AH28" s="37" t="n"/>
    </row>
    <row r="29">
      <c r="A29" s="35" t="n"/>
      <c r="B29" s="36" t="n"/>
      <c r="C29" s="37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7" t="n"/>
      <c r="AD29" s="37" t="n"/>
      <c r="AE29" s="37" t="n"/>
      <c r="AF29" s="35" t="n"/>
      <c r="AG29" s="35" t="n"/>
      <c r="AH29" s="37" t="n"/>
    </row>
    <row r="30">
      <c r="A30" s="35" t="n"/>
      <c r="B30" s="36" t="n"/>
      <c r="C30" s="37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7" t="n"/>
      <c r="AD30" s="37" t="n"/>
      <c r="AE30" s="37" t="n"/>
      <c r="AF30" s="35" t="n"/>
      <c r="AG30" s="35" t="n"/>
      <c r="AH30" s="37" t="n"/>
    </row>
    <row r="31">
      <c r="A31" s="35" t="n"/>
      <c r="B31" s="36" t="n"/>
      <c r="C31" s="37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7" t="n"/>
      <c r="AD31" s="37" t="n"/>
      <c r="AE31" s="37" t="n"/>
      <c r="AF31" s="35" t="n"/>
      <c r="AG31" s="35" t="n"/>
      <c r="AH31" s="37" t="n"/>
    </row>
    <row r="32">
      <c r="A32" s="35" t="n"/>
      <c r="B32" s="36" t="n"/>
      <c r="C32" s="37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7" t="n"/>
      <c r="AD32" s="37" t="n"/>
      <c r="AE32" s="37" t="n"/>
      <c r="AF32" s="35" t="n"/>
      <c r="AG32" s="35" t="n"/>
      <c r="AH32" s="37" t="n"/>
    </row>
    <row r="33">
      <c r="A33" s="35" t="n"/>
      <c r="B33" s="36" t="n"/>
      <c r="C33" s="37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7" t="n"/>
      <c r="AD33" s="37" t="n"/>
      <c r="AE33" s="37" t="n"/>
      <c r="AF33" s="35" t="n"/>
      <c r="AG33" s="35" t="n"/>
      <c r="AH33" s="37" t="n"/>
    </row>
    <row r="34">
      <c r="A34" s="35" t="n"/>
      <c r="B34" s="36" t="n"/>
      <c r="C34" s="37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7" t="n"/>
      <c r="AD34" s="37" t="n"/>
      <c r="AE34" s="37" t="n"/>
      <c r="AF34" s="35" t="n"/>
      <c r="AG34" s="35" t="n"/>
      <c r="AH34" s="37" t="n"/>
    </row>
    <row r="35">
      <c r="A35" s="35" t="n"/>
      <c r="B35" s="36" t="n"/>
      <c r="C35" s="37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7" t="n"/>
      <c r="AD35" s="37" t="n"/>
      <c r="AE35" s="37" t="n"/>
      <c r="AF35" s="35" t="n"/>
      <c r="AG35" s="35" t="n"/>
      <c r="AH35" s="37" t="n"/>
    </row>
    <row r="36">
      <c r="A36" s="35" t="n"/>
      <c r="B36" s="36" t="n"/>
      <c r="C36" s="37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7" t="n"/>
      <c r="AD36" s="37" t="n"/>
      <c r="AE36" s="37" t="n"/>
      <c r="AF36" s="35" t="n"/>
      <c r="AG36" s="35" t="n"/>
      <c r="AH36" s="37" t="n"/>
    </row>
    <row r="37">
      <c r="A37" s="35" t="n"/>
      <c r="B37" s="36" t="n"/>
      <c r="C37" s="37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7" t="n"/>
      <c r="AD37" s="37" t="n"/>
      <c r="AE37" s="37" t="n"/>
      <c r="AF37" s="35" t="n"/>
      <c r="AG37" s="35" t="n"/>
      <c r="AH37" s="37" t="n"/>
    </row>
    <row r="38">
      <c r="A38" s="35" t="n"/>
      <c r="B38" s="36" t="n"/>
      <c r="C38" s="37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7" t="n"/>
      <c r="AD38" s="37" t="n"/>
      <c r="AE38" s="37" t="n"/>
      <c r="AF38" s="35" t="n"/>
      <c r="AG38" s="35" t="n"/>
      <c r="AH38" s="37" t="n"/>
    </row>
    <row r="39">
      <c r="A39" s="35" t="n"/>
      <c r="B39" s="36" t="n"/>
      <c r="C39" s="37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7" t="n"/>
      <c r="AD39" s="37" t="n"/>
      <c r="AE39" s="37" t="n"/>
      <c r="AF39" s="35" t="n"/>
      <c r="AG39" s="35" t="n"/>
      <c r="AH39" s="37" t="n"/>
    </row>
    <row r="40">
      <c r="A40" s="35" t="n"/>
      <c r="B40" s="36" t="n"/>
      <c r="C40" s="37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7" t="n"/>
      <c r="AD40" s="37" t="n"/>
      <c r="AE40" s="37" t="n"/>
      <c r="AF40" s="35" t="n"/>
      <c r="AG40" s="35" t="n"/>
      <c r="AH40" s="37" t="n"/>
    </row>
    <row r="41">
      <c r="A41" s="35" t="n"/>
      <c r="B41" s="36" t="n"/>
      <c r="C41" s="37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7" t="n"/>
      <c r="AD41" s="37" t="n"/>
      <c r="AE41" s="37" t="n"/>
      <c r="AF41" s="35" t="n"/>
      <c r="AG41" s="35" t="n"/>
      <c r="AH41" s="37" t="n"/>
    </row>
    <row r="42">
      <c r="A42" s="35" t="n"/>
      <c r="B42" s="36" t="n"/>
      <c r="C42" s="37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7" t="n"/>
      <c r="AD42" s="37" t="n"/>
      <c r="AE42" s="37" t="n"/>
      <c r="AF42" s="35" t="n"/>
      <c r="AG42" s="35" t="n"/>
      <c r="AH42" s="37" t="n"/>
    </row>
    <row r="43">
      <c r="A43" s="35" t="n"/>
      <c r="B43" s="36" t="n"/>
      <c r="C43" s="37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7" t="n"/>
      <c r="AD43" s="37" t="n"/>
      <c r="AE43" s="37" t="n"/>
      <c r="AF43" s="35" t="n"/>
      <c r="AG43" s="35" t="n"/>
      <c r="AH43" s="37" t="n"/>
    </row>
    <row r="44">
      <c r="A44" s="35" t="n"/>
      <c r="B44" s="36" t="n"/>
      <c r="C44" s="37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7" t="n"/>
      <c r="AD44" s="37" t="n"/>
      <c r="AE44" s="37" t="n"/>
      <c r="AF44" s="35" t="n"/>
      <c r="AG44" s="35" t="n"/>
      <c r="AH44" s="37" t="n"/>
    </row>
    <row r="45">
      <c r="A45" s="35" t="n"/>
      <c r="B45" s="36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7" t="n"/>
      <c r="AD45" s="37" t="n"/>
      <c r="AE45" s="37" t="n"/>
      <c r="AF45" s="35" t="n"/>
      <c r="AG45" s="35" t="n"/>
      <c r="AH45" s="37" t="n"/>
    </row>
    <row r="46">
      <c r="A46" s="35" t="n"/>
      <c r="B46" s="36" t="n"/>
      <c r="C46" s="37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7" t="n"/>
      <c r="AD46" s="37" t="n"/>
      <c r="AE46" s="37" t="n"/>
      <c r="AF46" s="35" t="n"/>
      <c r="AG46" s="35" t="n"/>
      <c r="AH46" s="37" t="n"/>
    </row>
    <row r="47">
      <c r="A47" s="35" t="n"/>
      <c r="B47" s="36" t="n"/>
      <c r="C47" s="37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7" t="n"/>
      <c r="AD47" s="37" t="n"/>
      <c r="AE47" s="37" t="n"/>
      <c r="AF47" s="35" t="n"/>
      <c r="AG47" s="35" t="n"/>
      <c r="AH47" s="37" t="n"/>
    </row>
    <row r="48">
      <c r="A48" s="35" t="n"/>
      <c r="B48" s="36" t="n"/>
      <c r="C48" s="37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7" t="n"/>
      <c r="AD48" s="37" t="n"/>
      <c r="AE48" s="37" t="n"/>
      <c r="AF48" s="35" t="n"/>
      <c r="AG48" s="35" t="n"/>
      <c r="AH48" s="37" t="n"/>
    </row>
    <row r="49">
      <c r="A49" s="35" t="n"/>
      <c r="B49" s="36" t="n"/>
      <c r="C49" s="37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7" t="n"/>
      <c r="AD49" s="37" t="n"/>
      <c r="AE49" s="37" t="n"/>
      <c r="AF49" s="35" t="n"/>
      <c r="AG49" s="35" t="n"/>
      <c r="AH49" s="37" t="n"/>
    </row>
    <row r="50">
      <c r="A50" s="35" t="n"/>
      <c r="B50" s="36" t="n"/>
      <c r="C50" s="37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7" t="n"/>
      <c r="AD50" s="37" t="n"/>
      <c r="AE50" s="37" t="n"/>
      <c r="AF50" s="35" t="n"/>
      <c r="AG50" s="35" t="n"/>
      <c r="AH50" s="37" t="n"/>
    </row>
    <row r="51">
      <c r="A51" s="35" t="n"/>
      <c r="B51" s="36" t="n"/>
      <c r="C51" s="37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7" t="n"/>
      <c r="AD51" s="37" t="n"/>
      <c r="AE51" s="37" t="n"/>
      <c r="AF51" s="35" t="n"/>
      <c r="AG51" s="35" t="n"/>
      <c r="AH51" s="37" t="n"/>
    </row>
    <row r="52">
      <c r="A52" s="35" t="n"/>
      <c r="B52" s="36" t="n"/>
      <c r="C52" s="37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7" t="n"/>
      <c r="AD52" s="37" t="n"/>
      <c r="AE52" s="37" t="n"/>
      <c r="AF52" s="35" t="n"/>
      <c r="AG52" s="35" t="n"/>
      <c r="AH52" s="37" t="n"/>
    </row>
    <row r="53">
      <c r="A53" s="35" t="n"/>
      <c r="B53" s="36" t="n"/>
      <c r="C53" s="37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7" t="n"/>
      <c r="AD53" s="37" t="n"/>
      <c r="AE53" s="37" t="n"/>
      <c r="AF53" s="35" t="n"/>
      <c r="AG53" s="35" t="n"/>
      <c r="AH53" s="37" t="n"/>
    </row>
    <row r="54">
      <c r="A54" s="35" t="n"/>
      <c r="B54" s="36" t="n"/>
      <c r="C54" s="37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7" t="n"/>
      <c r="AD54" s="37" t="n"/>
      <c r="AE54" s="37" t="n"/>
      <c r="AF54" s="35" t="n"/>
      <c r="AG54" s="35" t="n"/>
      <c r="AH54" s="37" t="n"/>
    </row>
    <row r="55">
      <c r="A55" s="35" t="n"/>
      <c r="B55" s="36" t="n"/>
      <c r="C55" s="37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7" t="n"/>
      <c r="AD55" s="37" t="n"/>
      <c r="AE55" s="37" t="n"/>
      <c r="AF55" s="35" t="n"/>
      <c r="AG55" s="35" t="n"/>
      <c r="AH55" s="37" t="n"/>
    </row>
    <row r="56">
      <c r="A56" s="35" t="n"/>
      <c r="B56" s="36" t="n"/>
      <c r="C56" s="37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7" t="n"/>
      <c r="AD56" s="37" t="n"/>
      <c r="AE56" s="37" t="n"/>
      <c r="AF56" s="35" t="n"/>
      <c r="AG56" s="35" t="n"/>
      <c r="AH56" s="37" t="n"/>
    </row>
    <row r="57">
      <c r="A57" s="35" t="n"/>
      <c r="B57" s="36" t="n"/>
      <c r="C57" s="37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7" t="n"/>
      <c r="AD57" s="37" t="n"/>
      <c r="AE57" s="37" t="n"/>
      <c r="AF57" s="35" t="n"/>
      <c r="AG57" s="35" t="n"/>
      <c r="AH57" s="37" t="n"/>
    </row>
    <row r="58">
      <c r="A58" s="35" t="n"/>
      <c r="B58" s="36" t="n"/>
      <c r="C58" s="37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7" t="n"/>
      <c r="AD58" s="37" t="n"/>
      <c r="AE58" s="37" t="n"/>
      <c r="AF58" s="35" t="n"/>
      <c r="AG58" s="35" t="n"/>
      <c r="AH58" s="37" t="n"/>
    </row>
    <row r="59">
      <c r="A59" s="35" t="n"/>
      <c r="B59" s="36" t="n"/>
      <c r="C59" s="37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7" t="n"/>
      <c r="AD59" s="37" t="n"/>
      <c r="AE59" s="37" t="n"/>
      <c r="AF59" s="35" t="n"/>
      <c r="AG59" s="35" t="n"/>
      <c r="AH59" s="37" t="n"/>
    </row>
    <row r="60">
      <c r="A60" s="35" t="n"/>
      <c r="B60" s="36" t="n"/>
      <c r="C60" s="37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7" t="n"/>
      <c r="AD60" s="37" t="n"/>
      <c r="AE60" s="37" t="n"/>
      <c r="AF60" s="35" t="n"/>
      <c r="AG60" s="35" t="n"/>
      <c r="AH60" s="37" t="n"/>
    </row>
    <row r="61">
      <c r="A61" s="35" t="n"/>
      <c r="B61" s="36" t="n"/>
      <c r="C61" s="37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7" t="n"/>
      <c r="AD61" s="37" t="n"/>
      <c r="AE61" s="37" t="n"/>
      <c r="AF61" s="35" t="n"/>
      <c r="AG61" s="35" t="n"/>
      <c r="AH61" s="37" t="n"/>
    </row>
    <row r="62">
      <c r="A62" s="35" t="n"/>
      <c r="B62" s="36" t="n"/>
      <c r="C62" s="37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7" t="n"/>
      <c r="AD62" s="37" t="n"/>
      <c r="AE62" s="37" t="n"/>
      <c r="AF62" s="35" t="n"/>
      <c r="AG62" s="35" t="n"/>
      <c r="AH62" s="37" t="n"/>
    </row>
    <row r="63">
      <c r="A63" s="35" t="n"/>
      <c r="B63" s="36" t="n"/>
      <c r="C63" s="37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7" t="n"/>
      <c r="AD63" s="37" t="n"/>
      <c r="AE63" s="37" t="n"/>
      <c r="AF63" s="35" t="n"/>
      <c r="AG63" s="35" t="n"/>
      <c r="AH63" s="37" t="n"/>
    </row>
    <row r="64">
      <c r="A64" s="35" t="n"/>
      <c r="B64" s="36" t="n"/>
      <c r="C64" s="37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7" t="n"/>
      <c r="AD64" s="37" t="n"/>
      <c r="AE64" s="37" t="n"/>
      <c r="AF64" s="35" t="n"/>
      <c r="AG64" s="35" t="n"/>
      <c r="AH64" s="37" t="n"/>
    </row>
    <row r="65">
      <c r="A65" s="35" t="n"/>
      <c r="B65" s="36" t="n"/>
      <c r="C65" s="37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7" t="n"/>
      <c r="AD65" s="37" t="n"/>
      <c r="AE65" s="37" t="n"/>
      <c r="AF65" s="35" t="n"/>
      <c r="AG65" s="35" t="n"/>
      <c r="AH65" s="37" t="n"/>
    </row>
    <row r="66">
      <c r="A66" s="35" t="n"/>
      <c r="B66" s="36" t="n"/>
      <c r="C66" s="37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7" t="n"/>
      <c r="AD66" s="37" t="n"/>
      <c r="AE66" s="37" t="n"/>
      <c r="AF66" s="35" t="n"/>
      <c r="AG66" s="35" t="n"/>
      <c r="AH66" s="37" t="n"/>
    </row>
    <row r="67">
      <c r="A67" s="35" t="n"/>
      <c r="B67" s="36" t="n"/>
      <c r="C67" s="37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7" t="n"/>
      <c r="AD67" s="37" t="n"/>
      <c r="AE67" s="37" t="n"/>
      <c r="AF67" s="35" t="n"/>
      <c r="AG67" s="35" t="n"/>
      <c r="AH67" s="37" t="n"/>
    </row>
    <row r="68">
      <c r="A68" s="35" t="n"/>
      <c r="B68" s="36" t="n"/>
      <c r="C68" s="37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7" t="n"/>
      <c r="AD68" s="37" t="n"/>
      <c r="AE68" s="37" t="n"/>
      <c r="AF68" s="35" t="n"/>
      <c r="AG68" s="35" t="n"/>
      <c r="AH68" s="37" t="n"/>
    </row>
    <row r="69">
      <c r="A69" s="35" t="n"/>
      <c r="B69" s="36" t="n"/>
      <c r="C69" s="37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7" t="n"/>
      <c r="AD69" s="37" t="n"/>
      <c r="AE69" s="37" t="n"/>
      <c r="AF69" s="35" t="n"/>
      <c r="AG69" s="35" t="n"/>
      <c r="AH69" s="37" t="n"/>
    </row>
    <row r="70">
      <c r="A70" s="35" t="n"/>
      <c r="B70" s="36" t="n"/>
      <c r="C70" s="37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7" t="n"/>
      <c r="AD70" s="37" t="n"/>
      <c r="AE70" s="37" t="n"/>
      <c r="AF70" s="35" t="n"/>
      <c r="AG70" s="35" t="n"/>
      <c r="AH70" s="37" t="n"/>
    </row>
    <row r="71">
      <c r="A71" s="35" t="n"/>
      <c r="B71" s="36" t="n"/>
      <c r="C71" s="37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7" t="n"/>
      <c r="AD71" s="37" t="n"/>
      <c r="AE71" s="37" t="n"/>
      <c r="AF71" s="35" t="n"/>
      <c r="AG71" s="35" t="n"/>
      <c r="AH71" s="37" t="n"/>
    </row>
    <row r="72">
      <c r="A72" s="35" t="n"/>
      <c r="B72" s="36" t="n"/>
      <c r="C72" s="37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7" t="n"/>
      <c r="AD72" s="37" t="n"/>
      <c r="AE72" s="37" t="n"/>
      <c r="AF72" s="35" t="n"/>
      <c r="AG72" s="35" t="n"/>
      <c r="AH72" s="37" t="n"/>
    </row>
    <row r="73">
      <c r="A73" s="35" t="n"/>
      <c r="B73" s="36" t="n"/>
      <c r="C73" s="37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7" t="n"/>
      <c r="AD73" s="37" t="n"/>
      <c r="AE73" s="37" t="n"/>
      <c r="AF73" s="35" t="n"/>
      <c r="AG73" s="35" t="n"/>
      <c r="AH73" s="37" t="n"/>
    </row>
    <row r="74">
      <c r="A74" s="35" t="n"/>
      <c r="B74" s="36" t="n"/>
      <c r="C74" s="37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7" t="n"/>
      <c r="AD74" s="37" t="n"/>
      <c r="AE74" s="37" t="n"/>
      <c r="AF74" s="35" t="n"/>
      <c r="AG74" s="35" t="n"/>
      <c r="AH74" s="37" t="n"/>
    </row>
    <row r="75">
      <c r="A75" s="35" t="n"/>
      <c r="B75" s="36" t="n"/>
      <c r="C75" s="37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7" t="n"/>
      <c r="AD75" s="37" t="n"/>
      <c r="AE75" s="37" t="n"/>
      <c r="AF75" s="35" t="n"/>
      <c r="AG75" s="35" t="n"/>
      <c r="AH75" s="37" t="n"/>
    </row>
    <row r="76">
      <c r="A76" s="35" t="n"/>
      <c r="B76" s="36" t="n"/>
      <c r="C76" s="37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7" t="n"/>
      <c r="AD76" s="37" t="n"/>
      <c r="AE76" s="37" t="n"/>
      <c r="AF76" s="35" t="n"/>
      <c r="AG76" s="35" t="n"/>
      <c r="AH76" s="37" t="n"/>
    </row>
    <row r="77">
      <c r="A77" s="35" t="n"/>
      <c r="B77" s="36" t="n"/>
      <c r="C77" s="37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7" t="n"/>
      <c r="AD77" s="37" t="n"/>
      <c r="AE77" s="37" t="n"/>
      <c r="AF77" s="35" t="n"/>
      <c r="AG77" s="35" t="n"/>
      <c r="AH77" s="37" t="n"/>
    </row>
    <row r="78">
      <c r="A78" s="35" t="n"/>
      <c r="B78" s="36" t="n"/>
      <c r="C78" s="37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7" t="n"/>
      <c r="AD78" s="37" t="n"/>
      <c r="AE78" s="37" t="n"/>
      <c r="AF78" s="35" t="n"/>
      <c r="AG78" s="35" t="n"/>
      <c r="AH78" s="37" t="n"/>
    </row>
    <row r="79">
      <c r="A79" s="35" t="n"/>
      <c r="B79" s="36" t="n"/>
      <c r="C79" s="37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7" t="n"/>
      <c r="AD79" s="37" t="n"/>
      <c r="AE79" s="37" t="n"/>
      <c r="AF79" s="35" t="n"/>
      <c r="AG79" s="35" t="n"/>
      <c r="AH79" s="37" t="n"/>
    </row>
    <row r="80">
      <c r="A80" s="35" t="n"/>
      <c r="B80" s="36" t="n"/>
      <c r="C80" s="37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7" t="n"/>
      <c r="AD80" s="37" t="n"/>
      <c r="AE80" s="37" t="n"/>
      <c r="AF80" s="35" t="n"/>
      <c r="AG80" s="35" t="n"/>
      <c r="AH80" s="37" t="n"/>
    </row>
    <row r="81">
      <c r="A81" s="35" t="n"/>
      <c r="B81" s="36" t="n"/>
      <c r="C81" s="37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7" t="n"/>
      <c r="AD81" s="37" t="n"/>
      <c r="AE81" s="37" t="n"/>
      <c r="AF81" s="35" t="n"/>
      <c r="AG81" s="35" t="n"/>
      <c r="AH81" s="37" t="n"/>
    </row>
    <row r="82">
      <c r="A82" s="35" t="n"/>
      <c r="B82" s="36" t="n"/>
      <c r="C82" s="37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7" t="n"/>
      <c r="AD82" s="37" t="n"/>
      <c r="AE82" s="37" t="n"/>
      <c r="AF82" s="35" t="n"/>
      <c r="AG82" s="35" t="n"/>
      <c r="AH82" s="37" t="n"/>
    </row>
    <row r="83">
      <c r="A83" s="35" t="n"/>
      <c r="B83" s="36" t="n"/>
      <c r="C83" s="37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7" t="n"/>
      <c r="AD83" s="37" t="n"/>
      <c r="AE83" s="37" t="n"/>
      <c r="AF83" s="35" t="n"/>
      <c r="AG83" s="35" t="n"/>
      <c r="AH83" s="37" t="n"/>
    </row>
    <row r="84">
      <c r="A84" s="35" t="n"/>
      <c r="B84" s="36" t="n"/>
      <c r="C84" s="37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7" t="n"/>
      <c r="AD84" s="37" t="n"/>
      <c r="AE84" s="37" t="n"/>
      <c r="AF84" s="35" t="n"/>
      <c r="AG84" s="35" t="n"/>
      <c r="AH84" s="37" t="n"/>
    </row>
    <row r="85">
      <c r="A85" s="35" t="n"/>
      <c r="B85" s="36" t="n"/>
      <c r="C85" s="37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7" t="n"/>
      <c r="AD85" s="37" t="n"/>
      <c r="AE85" s="37" t="n"/>
      <c r="AF85" s="35" t="n"/>
      <c r="AG85" s="35" t="n"/>
      <c r="AH85" s="37" t="n"/>
    </row>
    <row r="86">
      <c r="A86" s="35" t="n"/>
      <c r="B86" s="36" t="n"/>
      <c r="C86" s="37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7" t="n"/>
      <c r="AD86" s="37" t="n"/>
      <c r="AE86" s="37" t="n"/>
      <c r="AF86" s="35" t="n"/>
      <c r="AG86" s="35" t="n"/>
      <c r="AH86" s="37" t="n"/>
    </row>
    <row r="87">
      <c r="A87" s="35" t="n"/>
      <c r="B87" s="36" t="n"/>
      <c r="C87" s="37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7" t="n"/>
      <c r="AD87" s="37" t="n"/>
      <c r="AE87" s="37" t="n"/>
      <c r="AF87" s="35" t="n"/>
      <c r="AG87" s="35" t="n"/>
      <c r="AH87" s="37" t="n"/>
    </row>
    <row r="88">
      <c r="A88" s="35" t="n"/>
      <c r="B88" s="36" t="n"/>
      <c r="C88" s="37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7" t="n"/>
      <c r="AD88" s="37" t="n"/>
      <c r="AE88" s="37" t="n"/>
      <c r="AF88" s="35" t="n"/>
      <c r="AG88" s="35" t="n"/>
      <c r="AH88" s="37" t="n"/>
    </row>
    <row r="89">
      <c r="A89" s="35" t="n"/>
      <c r="B89" s="36" t="n"/>
      <c r="C89" s="37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7" t="n"/>
      <c r="AD89" s="37" t="n"/>
      <c r="AE89" s="37" t="n"/>
      <c r="AF89" s="35" t="n"/>
      <c r="AG89" s="35" t="n"/>
      <c r="AH89" s="37" t="n"/>
    </row>
    <row r="90">
      <c r="A90" s="35" t="n"/>
      <c r="B90" s="36" t="n"/>
      <c r="C90" s="37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7" t="n"/>
      <c r="AD90" s="37" t="n"/>
      <c r="AE90" s="37" t="n"/>
      <c r="AF90" s="35" t="n"/>
      <c r="AG90" s="35" t="n"/>
      <c r="AH90" s="37" t="n"/>
    </row>
    <row r="91">
      <c r="A91" s="35" t="n"/>
      <c r="B91" s="36" t="n"/>
      <c r="C91" s="37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7" t="n"/>
      <c r="AD91" s="37" t="n"/>
      <c r="AE91" s="37" t="n"/>
      <c r="AF91" s="35" t="n"/>
      <c r="AG91" s="35" t="n"/>
      <c r="AH91" s="37" t="n"/>
    </row>
    <row r="92">
      <c r="A92" s="35" t="n"/>
      <c r="B92" s="36" t="n"/>
      <c r="C92" s="37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7" t="n"/>
      <c r="AD92" s="37" t="n"/>
      <c r="AE92" s="37" t="n"/>
      <c r="AF92" s="35" t="n"/>
      <c r="AG92" s="35" t="n"/>
      <c r="AH92" s="37" t="n"/>
    </row>
    <row r="93">
      <c r="A93" s="35" t="n"/>
      <c r="B93" s="36" t="n"/>
      <c r="C93" s="37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7" t="n"/>
      <c r="AD93" s="37" t="n"/>
      <c r="AE93" s="37" t="n"/>
      <c r="AF93" s="35" t="n"/>
      <c r="AG93" s="35" t="n"/>
      <c r="AH93" s="37" t="n"/>
    </row>
    <row r="94">
      <c r="A94" s="35" t="n"/>
      <c r="B94" s="36" t="n"/>
      <c r="C94" s="37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7" t="n"/>
      <c r="AD94" s="37" t="n"/>
      <c r="AE94" s="37" t="n"/>
      <c r="AF94" s="35" t="n"/>
      <c r="AG94" s="35" t="n"/>
      <c r="AH94" s="37" t="n"/>
    </row>
    <row r="95">
      <c r="A95" s="35" t="n"/>
      <c r="B95" s="36" t="n"/>
      <c r="C95" s="37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7" t="n"/>
      <c r="AD95" s="37" t="n"/>
      <c r="AE95" s="37" t="n"/>
      <c r="AF95" s="35" t="n"/>
      <c r="AG95" s="35" t="n"/>
      <c r="AH95" s="37" t="n"/>
    </row>
    <row r="96">
      <c r="A96" s="35" t="n"/>
      <c r="B96" s="36" t="n"/>
      <c r="C96" s="37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7" t="n"/>
      <c r="AD96" s="37" t="n"/>
      <c r="AE96" s="37" t="n"/>
      <c r="AF96" s="35" t="n"/>
      <c r="AG96" s="35" t="n"/>
      <c r="AH96" s="37" t="n"/>
    </row>
    <row r="97">
      <c r="A97" s="35" t="n"/>
      <c r="B97" s="36" t="n"/>
      <c r="C97" s="37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7" t="n"/>
      <c r="AD97" s="37" t="n"/>
      <c r="AE97" s="37" t="n"/>
      <c r="AF97" s="35" t="n"/>
      <c r="AG97" s="35" t="n"/>
      <c r="AH97" s="37" t="n"/>
    </row>
    <row r="98">
      <c r="A98" s="35" t="n"/>
      <c r="B98" s="36" t="n"/>
      <c r="C98" s="37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7" t="n"/>
      <c r="AD98" s="37" t="n"/>
      <c r="AE98" s="37" t="n"/>
      <c r="AF98" s="35" t="n"/>
      <c r="AG98" s="35" t="n"/>
      <c r="AH98" s="37" t="n"/>
    </row>
    <row r="99">
      <c r="A99" s="35" t="n"/>
      <c r="B99" s="36" t="n"/>
      <c r="C99" s="37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7" t="n"/>
      <c r="AD99" s="37" t="n"/>
      <c r="AE99" s="37" t="n"/>
      <c r="AF99" s="35" t="n"/>
      <c r="AG99" s="35" t="n"/>
      <c r="AH99" s="37" t="n"/>
    </row>
    <row r="100">
      <c r="A100" s="35" t="n"/>
      <c r="B100" s="36" t="n"/>
      <c r="C100" s="37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7" t="n"/>
      <c r="AD100" s="37" t="n"/>
      <c r="AE100" s="37" t="n"/>
      <c r="AF100" s="35" t="n"/>
      <c r="AG100" s="35" t="n"/>
      <c r="AH100" s="37" t="n"/>
    </row>
    <row r="101">
      <c r="A101" s="35" t="n"/>
      <c r="B101" s="36" t="n"/>
      <c r="C101" s="37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7" t="n"/>
      <c r="AD101" s="37" t="n"/>
      <c r="AE101" s="37" t="n"/>
      <c r="AF101" s="35" t="n"/>
      <c r="AG101" s="35" t="n"/>
      <c r="AH101" s="37" t="n"/>
    </row>
    <row r="102">
      <c r="A102" s="35" t="n"/>
      <c r="B102" s="36" t="n"/>
      <c r="C102" s="37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7" t="n"/>
      <c r="AD102" s="37" t="n"/>
      <c r="AE102" s="37" t="n"/>
      <c r="AF102" s="35" t="n"/>
      <c r="AG102" s="35" t="n"/>
      <c r="AH102" s="37" t="n"/>
    </row>
    <row r="103">
      <c r="A103" s="35" t="n"/>
      <c r="B103" s="36" t="n"/>
      <c r="C103" s="37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7" t="n"/>
      <c r="AD103" s="37" t="n"/>
      <c r="AE103" s="37" t="n"/>
      <c r="AF103" s="35" t="n"/>
      <c r="AG103" s="35" t="n"/>
      <c r="AH103" s="37" t="n"/>
    </row>
    <row r="104">
      <c r="A104" s="35" t="n"/>
      <c r="B104" s="36" t="n"/>
      <c r="C104" s="37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7" t="n"/>
      <c r="AD104" s="37" t="n"/>
      <c r="AE104" s="37" t="n"/>
      <c r="AF104" s="35" t="n"/>
      <c r="AG104" s="35" t="n"/>
      <c r="AH104" s="37" t="n"/>
    </row>
    <row r="105">
      <c r="A105" s="35" t="n"/>
      <c r="B105" s="36" t="n"/>
      <c r="C105" s="37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7" t="n"/>
      <c r="AD105" s="37" t="n"/>
      <c r="AE105" s="37" t="n"/>
      <c r="AF105" s="35" t="n"/>
      <c r="AG105" s="35" t="n"/>
      <c r="AH105" s="37" t="n"/>
    </row>
    <row r="106">
      <c r="A106" s="35" t="n"/>
      <c r="B106" s="36" t="n"/>
      <c r="C106" s="37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7" t="n"/>
      <c r="AD106" s="37" t="n"/>
      <c r="AE106" s="37" t="n"/>
      <c r="AF106" s="35" t="n"/>
      <c r="AG106" s="35" t="n"/>
      <c r="AH106" s="37" t="n"/>
    </row>
    <row r="107">
      <c r="A107" s="35" t="n"/>
      <c r="B107" s="36" t="n"/>
      <c r="C107" s="37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7" t="n"/>
      <c r="AD107" s="37" t="n"/>
      <c r="AE107" s="37" t="n"/>
      <c r="AF107" s="35" t="n"/>
      <c r="AG107" s="35" t="n"/>
      <c r="AH107" s="37" t="n"/>
    </row>
    <row r="108">
      <c r="A108" s="35" t="n"/>
      <c r="B108" s="36" t="n"/>
      <c r="C108" s="37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7" t="n"/>
      <c r="AD108" s="37" t="n"/>
      <c r="AE108" s="37" t="n"/>
      <c r="AF108" s="35" t="n"/>
      <c r="AG108" s="35" t="n"/>
      <c r="AH108" s="37" t="n"/>
    </row>
    <row r="109">
      <c r="A109" s="35" t="n"/>
      <c r="B109" s="36" t="n"/>
      <c r="C109" s="37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7" t="n"/>
      <c r="AD109" s="37" t="n"/>
      <c r="AE109" s="37" t="n"/>
      <c r="AF109" s="35" t="n"/>
      <c r="AG109" s="35" t="n"/>
      <c r="AH109" s="37" t="n"/>
    </row>
    <row r="110">
      <c r="A110" s="35" t="n"/>
      <c r="B110" s="36" t="n"/>
      <c r="C110" s="37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7" t="n"/>
      <c r="AD110" s="37" t="n"/>
      <c r="AE110" s="37" t="n"/>
      <c r="AF110" s="35" t="n"/>
      <c r="AG110" s="35" t="n"/>
      <c r="AH110" s="37" t="n"/>
    </row>
    <row r="111">
      <c r="A111" s="35" t="n"/>
      <c r="B111" s="36" t="n"/>
      <c r="C111" s="37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7" t="n"/>
      <c r="AD111" s="37" t="n"/>
      <c r="AE111" s="37" t="n"/>
      <c r="AF111" s="35" t="n"/>
      <c r="AG111" s="35" t="n"/>
      <c r="AH111" s="37" t="n"/>
    </row>
    <row r="112">
      <c r="A112" s="35" t="n"/>
      <c r="B112" s="36" t="n"/>
      <c r="C112" s="37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7" t="n"/>
      <c r="AD112" s="37" t="n"/>
      <c r="AE112" s="37" t="n"/>
      <c r="AF112" s="35" t="n"/>
      <c r="AG112" s="35" t="n"/>
      <c r="AH112" s="37" t="n"/>
    </row>
    <row r="113">
      <c r="A113" s="35" t="n"/>
      <c r="B113" s="36" t="n"/>
      <c r="C113" s="37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7" t="n"/>
      <c r="AD113" s="37" t="n"/>
      <c r="AE113" s="37" t="n"/>
      <c r="AF113" s="35" t="n"/>
      <c r="AG113" s="35" t="n"/>
      <c r="AH113" s="37" t="n"/>
    </row>
    <row r="114">
      <c r="A114" s="35" t="n"/>
      <c r="B114" s="36" t="n"/>
      <c r="C114" s="37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7" t="n"/>
      <c r="AD114" s="37" t="n"/>
      <c r="AE114" s="37" t="n"/>
      <c r="AF114" s="35" t="n"/>
      <c r="AG114" s="35" t="n"/>
      <c r="AH114" s="37" t="n"/>
    </row>
    <row r="115">
      <c r="A115" s="35" t="n"/>
      <c r="B115" s="36" t="n"/>
      <c r="C115" s="37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7" t="n"/>
      <c r="AD115" s="37" t="n"/>
      <c r="AE115" s="37" t="n"/>
      <c r="AF115" s="35" t="n"/>
      <c r="AG115" s="35" t="n"/>
      <c r="AH115" s="37" t="n"/>
    </row>
    <row r="116">
      <c r="A116" s="35" t="n"/>
      <c r="B116" s="36" t="n"/>
      <c r="C116" s="37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7" t="n"/>
      <c r="AD116" s="37" t="n"/>
      <c r="AE116" s="37" t="n"/>
      <c r="AF116" s="35" t="n"/>
      <c r="AG116" s="35" t="n"/>
      <c r="AH116" s="37" t="n"/>
    </row>
    <row r="117">
      <c r="A117" s="35" t="n"/>
      <c r="B117" s="36" t="n"/>
      <c r="C117" s="37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7" t="n"/>
      <c r="AD117" s="37" t="n"/>
      <c r="AE117" s="37" t="n"/>
      <c r="AF117" s="35" t="n"/>
      <c r="AG117" s="35" t="n"/>
      <c r="AH117" s="37" t="n"/>
    </row>
    <row r="118">
      <c r="A118" s="35" t="n"/>
      <c r="B118" s="36" t="n"/>
      <c r="C118" s="37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7" t="n"/>
      <c r="AD118" s="37" t="n"/>
      <c r="AE118" s="37" t="n"/>
      <c r="AF118" s="35" t="n"/>
      <c r="AG118" s="35" t="n"/>
      <c r="AH118" s="37" t="n"/>
    </row>
    <row r="119">
      <c r="A119" s="35" t="n"/>
      <c r="B119" s="36" t="n"/>
      <c r="C119" s="37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7" t="n"/>
      <c r="AD119" s="37" t="n"/>
      <c r="AE119" s="37" t="n"/>
      <c r="AF119" s="35" t="n"/>
      <c r="AG119" s="35" t="n"/>
      <c r="AH119" s="37" t="n"/>
    </row>
    <row r="120">
      <c r="A120" s="35" t="n"/>
      <c r="B120" s="36" t="n"/>
      <c r="C120" s="37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7" t="n"/>
      <c r="AD120" s="37" t="n"/>
      <c r="AE120" s="37" t="n"/>
      <c r="AF120" s="35" t="n"/>
      <c r="AG120" s="35" t="n"/>
      <c r="AH120" s="37" t="n"/>
    </row>
    <row r="121">
      <c r="A121" s="35" t="n"/>
      <c r="B121" s="36" t="n"/>
      <c r="C121" s="37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7" t="n"/>
      <c r="AD121" s="37" t="n"/>
      <c r="AE121" s="37" t="n"/>
      <c r="AF121" s="35" t="n"/>
      <c r="AG121" s="35" t="n"/>
      <c r="AH121" s="37" t="n"/>
    </row>
    <row r="122">
      <c r="A122" s="35" t="n"/>
      <c r="B122" s="36" t="n"/>
      <c r="C122" s="37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7" t="n"/>
      <c r="AD122" s="37" t="n"/>
      <c r="AE122" s="37" t="n"/>
      <c r="AF122" s="35" t="n"/>
      <c r="AG122" s="35" t="n"/>
      <c r="AH122" s="37" t="n"/>
    </row>
    <row r="123">
      <c r="A123" s="35" t="n"/>
      <c r="B123" s="36" t="n"/>
      <c r="C123" s="37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7" t="n"/>
      <c r="AD123" s="37" t="n"/>
      <c r="AE123" s="37" t="n"/>
      <c r="AF123" s="35" t="n"/>
      <c r="AG123" s="35" t="n"/>
      <c r="AH123" s="37" t="n"/>
    </row>
    <row r="124">
      <c r="A124" s="35" t="n"/>
      <c r="B124" s="36" t="n"/>
      <c r="C124" s="37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7" t="n"/>
      <c r="AD124" s="37" t="n"/>
      <c r="AE124" s="37" t="n"/>
      <c r="AF124" s="35" t="n"/>
      <c r="AG124" s="35" t="n"/>
      <c r="AH124" s="37" t="n"/>
    </row>
    <row r="125">
      <c r="A125" s="35" t="n"/>
      <c r="B125" s="36" t="n"/>
      <c r="C125" s="37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7" t="n"/>
      <c r="AD125" s="37" t="n"/>
      <c r="AE125" s="37" t="n"/>
      <c r="AF125" s="35" t="n"/>
      <c r="AG125" s="35" t="n"/>
      <c r="AH125" s="37" t="n"/>
    </row>
    <row r="126">
      <c r="A126" s="35" t="n"/>
      <c r="B126" s="36" t="n"/>
      <c r="C126" s="37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7" t="n"/>
      <c r="AD126" s="37" t="n"/>
      <c r="AE126" s="37" t="n"/>
      <c r="AF126" s="35" t="n"/>
      <c r="AG126" s="35" t="n"/>
      <c r="AH126" s="37" t="n"/>
    </row>
    <row r="127">
      <c r="A127" s="35" t="n"/>
      <c r="B127" s="36" t="n"/>
      <c r="C127" s="37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7" t="n"/>
      <c r="AD127" s="37" t="n"/>
      <c r="AE127" s="37" t="n"/>
      <c r="AF127" s="35" t="n"/>
      <c r="AG127" s="35" t="n"/>
      <c r="AH127" s="37" t="n"/>
    </row>
    <row r="128">
      <c r="A128" s="35" t="n"/>
      <c r="B128" s="36" t="n"/>
      <c r="C128" s="37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7" t="n"/>
      <c r="AD128" s="37" t="n"/>
      <c r="AE128" s="37" t="n"/>
      <c r="AF128" s="35" t="n"/>
      <c r="AG128" s="35" t="n"/>
      <c r="AH128" s="37" t="n"/>
    </row>
    <row r="129">
      <c r="A129" s="35" t="n"/>
      <c r="B129" s="36" t="n"/>
      <c r="C129" s="37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7" t="n"/>
      <c r="AD129" s="37" t="n"/>
      <c r="AE129" s="37" t="n"/>
      <c r="AF129" s="35" t="n"/>
      <c r="AG129" s="35" t="n"/>
      <c r="AH129" s="37" t="n"/>
    </row>
    <row r="130">
      <c r="A130" s="35" t="n"/>
      <c r="B130" s="36" t="n"/>
      <c r="C130" s="37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7" t="n"/>
      <c r="AD130" s="37" t="n"/>
      <c r="AE130" s="37" t="n"/>
      <c r="AF130" s="35" t="n"/>
      <c r="AG130" s="35" t="n"/>
      <c r="AH130" s="37" t="n"/>
    </row>
    <row r="131">
      <c r="A131" s="35" t="n"/>
      <c r="B131" s="36" t="n"/>
      <c r="C131" s="37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7" t="n"/>
      <c r="AD131" s="37" t="n"/>
      <c r="AE131" s="37" t="n"/>
      <c r="AF131" s="35" t="n"/>
      <c r="AG131" s="35" t="n"/>
      <c r="AH131" s="37" t="n"/>
    </row>
    <row r="132">
      <c r="A132" s="35" t="n"/>
      <c r="B132" s="36" t="n"/>
      <c r="C132" s="37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7" t="n"/>
      <c r="AD132" s="37" t="n"/>
      <c r="AE132" s="37" t="n"/>
      <c r="AF132" s="35" t="n"/>
      <c r="AG132" s="35" t="n"/>
      <c r="AH132" s="37" t="n"/>
    </row>
    <row r="133">
      <c r="A133" s="35" t="n"/>
      <c r="B133" s="36" t="n"/>
      <c r="C133" s="37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7" t="n"/>
      <c r="AD133" s="37" t="n"/>
      <c r="AE133" s="37" t="n"/>
      <c r="AF133" s="35" t="n"/>
      <c r="AG133" s="35" t="n"/>
      <c r="AH133" s="37" t="n"/>
    </row>
    <row r="134">
      <c r="A134" s="35" t="n"/>
      <c r="B134" s="36" t="n"/>
      <c r="C134" s="37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7" t="n"/>
      <c r="AD134" s="37" t="n"/>
      <c r="AE134" s="37" t="n"/>
      <c r="AF134" s="35" t="n"/>
      <c r="AG134" s="35" t="n"/>
      <c r="AH134" s="37" t="n"/>
    </row>
    <row r="135">
      <c r="A135" s="35" t="n"/>
      <c r="B135" s="36" t="n"/>
      <c r="C135" s="37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7" t="n"/>
      <c r="AD135" s="37" t="n"/>
      <c r="AE135" s="37" t="n"/>
      <c r="AF135" s="35" t="n"/>
      <c r="AG135" s="35" t="n"/>
      <c r="AH135" s="37" t="n"/>
    </row>
    <row r="136">
      <c r="A136" s="35" t="n"/>
      <c r="B136" s="36" t="n"/>
      <c r="C136" s="37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7" t="n"/>
      <c r="AD136" s="37" t="n"/>
      <c r="AE136" s="37" t="n"/>
      <c r="AF136" s="35" t="n"/>
      <c r="AG136" s="35" t="n"/>
      <c r="AH136" s="37" t="n"/>
    </row>
    <row r="137">
      <c r="A137" s="35" t="n"/>
      <c r="B137" s="36" t="n"/>
      <c r="C137" s="37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7" t="n"/>
      <c r="AD137" s="37" t="n"/>
      <c r="AE137" s="37" t="n"/>
      <c r="AF137" s="35" t="n"/>
      <c r="AG137" s="35" t="n"/>
      <c r="AH137" s="37" t="n"/>
    </row>
    <row r="138">
      <c r="A138" s="35" t="n"/>
      <c r="B138" s="36" t="n"/>
      <c r="C138" s="37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7" t="n"/>
      <c r="AD138" s="37" t="n"/>
      <c r="AE138" s="37" t="n"/>
      <c r="AF138" s="35" t="n"/>
      <c r="AG138" s="35" t="n"/>
      <c r="AH138" s="37" t="n"/>
    </row>
    <row r="139">
      <c r="A139" s="35" t="n"/>
      <c r="B139" s="36" t="n"/>
      <c r="C139" s="37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7" t="n"/>
      <c r="AD139" s="37" t="n"/>
      <c r="AE139" s="37" t="n"/>
      <c r="AF139" s="35" t="n"/>
      <c r="AG139" s="35" t="n"/>
      <c r="AH139" s="37" t="n"/>
    </row>
    <row r="140">
      <c r="A140" s="35" t="n"/>
      <c r="B140" s="36" t="n"/>
      <c r="C140" s="37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7" t="n"/>
      <c r="AD140" s="37" t="n"/>
      <c r="AE140" s="37" t="n"/>
      <c r="AF140" s="35" t="n"/>
      <c r="AG140" s="35" t="n"/>
      <c r="AH140" s="37" t="n"/>
    </row>
    <row r="141">
      <c r="A141" s="35" t="n"/>
      <c r="B141" s="36" t="n"/>
      <c r="C141" s="37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7" t="n"/>
      <c r="AD141" s="37" t="n"/>
      <c r="AE141" s="37" t="n"/>
      <c r="AF141" s="35" t="n"/>
      <c r="AG141" s="35" t="n"/>
      <c r="AH141" s="37" t="n"/>
    </row>
    <row r="142">
      <c r="A142" s="35" t="n"/>
      <c r="B142" s="36" t="n"/>
      <c r="C142" s="37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7" t="n"/>
      <c r="AD142" s="37" t="n"/>
      <c r="AE142" s="37" t="n"/>
      <c r="AF142" s="35" t="n"/>
      <c r="AG142" s="35" t="n"/>
      <c r="AH142" s="37" t="n"/>
    </row>
    <row r="143">
      <c r="A143" s="35" t="n"/>
      <c r="B143" s="36" t="n"/>
      <c r="C143" s="37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7" t="n"/>
      <c r="AD143" s="37" t="n"/>
      <c r="AE143" s="37" t="n"/>
      <c r="AF143" s="35" t="n"/>
      <c r="AG143" s="35" t="n"/>
      <c r="AH143" s="37" t="n"/>
    </row>
    <row r="144">
      <c r="A144" s="35" t="n"/>
      <c r="B144" s="36" t="n"/>
      <c r="C144" s="37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7" t="n"/>
      <c r="AD144" s="37" t="n"/>
      <c r="AE144" s="37" t="n"/>
      <c r="AF144" s="35" t="n"/>
      <c r="AG144" s="35" t="n"/>
      <c r="AH144" s="37" t="n"/>
    </row>
    <row r="145">
      <c r="A145" s="35" t="n"/>
      <c r="B145" s="36" t="n"/>
      <c r="C145" s="37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7" t="n"/>
      <c r="AD145" s="37" t="n"/>
      <c r="AE145" s="37" t="n"/>
      <c r="AF145" s="35" t="n"/>
      <c r="AG145" s="35" t="n"/>
      <c r="AH145" s="37" t="n"/>
    </row>
    <row r="146">
      <c r="A146" s="35" t="n"/>
      <c r="B146" s="36" t="n"/>
      <c r="C146" s="37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7" t="n"/>
      <c r="AD146" s="37" t="n"/>
      <c r="AE146" s="37" t="n"/>
      <c r="AF146" s="35" t="n"/>
      <c r="AG146" s="35" t="n"/>
      <c r="AH146" s="37" t="n"/>
    </row>
    <row r="147">
      <c r="A147" s="35" t="n"/>
      <c r="B147" s="36" t="n"/>
      <c r="C147" s="37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7" t="n"/>
      <c r="AD147" s="37" t="n"/>
      <c r="AE147" s="37" t="n"/>
      <c r="AF147" s="35" t="n"/>
      <c r="AG147" s="35" t="n"/>
      <c r="AH147" s="37" t="n"/>
    </row>
    <row r="148">
      <c r="A148" s="35" t="n"/>
      <c r="B148" s="36" t="n"/>
      <c r="C148" s="37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7" t="n"/>
      <c r="AD148" s="37" t="n"/>
      <c r="AE148" s="37" t="n"/>
      <c r="AF148" s="35" t="n"/>
      <c r="AG148" s="35" t="n"/>
      <c r="AH148" s="37" t="n"/>
    </row>
    <row r="149">
      <c r="A149" s="35" t="n"/>
      <c r="B149" s="36" t="n"/>
      <c r="C149" s="37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7" t="n"/>
      <c r="AD149" s="37" t="n"/>
      <c r="AE149" s="37" t="n"/>
      <c r="AF149" s="35" t="n"/>
      <c r="AG149" s="35" t="n"/>
      <c r="AH149" s="37" t="n"/>
    </row>
    <row r="150">
      <c r="A150" s="35" t="n"/>
      <c r="B150" s="36" t="n"/>
      <c r="C150" s="37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7" t="n"/>
      <c r="AD150" s="37" t="n"/>
      <c r="AE150" s="37" t="n"/>
      <c r="AF150" s="35" t="n"/>
      <c r="AG150" s="35" t="n"/>
      <c r="AH150" s="37" t="n"/>
    </row>
    <row r="151">
      <c r="A151" s="35" t="n"/>
      <c r="B151" s="36" t="n"/>
      <c r="C151" s="37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7" t="n"/>
      <c r="AD151" s="37" t="n"/>
      <c r="AE151" s="37" t="n"/>
      <c r="AF151" s="35" t="n"/>
      <c r="AG151" s="35" t="n"/>
      <c r="AH151" s="37" t="n"/>
    </row>
    <row r="152">
      <c r="A152" s="35" t="n"/>
      <c r="B152" s="36" t="n"/>
      <c r="C152" s="37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7" t="n"/>
      <c r="AD152" s="37" t="n"/>
      <c r="AE152" s="37" t="n"/>
      <c r="AF152" s="35" t="n"/>
      <c r="AG152" s="35" t="n"/>
      <c r="AH152" s="37" t="n"/>
    </row>
    <row r="153">
      <c r="A153" s="35" t="n"/>
      <c r="B153" s="36" t="n"/>
      <c r="C153" s="37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7" t="n"/>
      <c r="AD153" s="37" t="n"/>
      <c r="AE153" s="37" t="n"/>
      <c r="AF153" s="35" t="n"/>
      <c r="AG153" s="35" t="n"/>
      <c r="AH153" s="37" t="n"/>
    </row>
    <row r="154">
      <c r="A154" s="35" t="n"/>
      <c r="B154" s="36" t="n"/>
      <c r="C154" s="37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7" t="n"/>
      <c r="AD154" s="37" t="n"/>
      <c r="AE154" s="37" t="n"/>
      <c r="AF154" s="35" t="n"/>
      <c r="AG154" s="35" t="n"/>
      <c r="AH154" s="37" t="n"/>
    </row>
    <row r="155">
      <c r="A155" s="35" t="n"/>
      <c r="B155" s="36" t="n"/>
      <c r="C155" s="37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7" t="n"/>
      <c r="AD155" s="37" t="n"/>
      <c r="AE155" s="37" t="n"/>
      <c r="AF155" s="35" t="n"/>
      <c r="AG155" s="35" t="n"/>
      <c r="AH155" s="37" t="n"/>
    </row>
    <row r="156">
      <c r="A156" s="35" t="n"/>
      <c r="B156" s="36" t="n"/>
      <c r="C156" s="37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7" t="n"/>
      <c r="AD156" s="37" t="n"/>
      <c r="AE156" s="37" t="n"/>
      <c r="AF156" s="35" t="n"/>
      <c r="AG156" s="35" t="n"/>
      <c r="AH156" s="37" t="n"/>
    </row>
    <row r="157">
      <c r="A157" s="35" t="n"/>
      <c r="B157" s="36" t="n"/>
      <c r="C157" s="37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7" t="n"/>
      <c r="AD157" s="37" t="n"/>
      <c r="AE157" s="37" t="n"/>
      <c r="AF157" s="35" t="n"/>
      <c r="AG157" s="35" t="n"/>
      <c r="AH157" s="37" t="n"/>
    </row>
    <row r="158">
      <c r="A158" s="35" t="n"/>
      <c r="B158" s="36" t="n"/>
      <c r="C158" s="37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7" t="n"/>
      <c r="AD158" s="37" t="n"/>
      <c r="AE158" s="37" t="n"/>
      <c r="AF158" s="35" t="n"/>
      <c r="AG158" s="35" t="n"/>
      <c r="AH158" s="37" t="n"/>
    </row>
    <row r="159">
      <c r="A159" s="35" t="n"/>
      <c r="B159" s="36" t="n"/>
      <c r="C159" s="37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7" t="n"/>
      <c r="AD159" s="37" t="n"/>
      <c r="AE159" s="37" t="n"/>
      <c r="AF159" s="35" t="n"/>
      <c r="AG159" s="35" t="n"/>
      <c r="AH159" s="37" t="n"/>
    </row>
    <row r="160">
      <c r="A160" s="35" t="n"/>
      <c r="B160" s="36" t="n"/>
      <c r="C160" s="37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7" t="n"/>
      <c r="AD160" s="37" t="n"/>
      <c r="AE160" s="37" t="n"/>
      <c r="AF160" s="35" t="n"/>
      <c r="AG160" s="35" t="n"/>
      <c r="AH160" s="37" t="n"/>
    </row>
    <row r="161">
      <c r="A161" s="35" t="n"/>
      <c r="B161" s="36" t="n"/>
      <c r="C161" s="37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7" t="n"/>
      <c r="AD161" s="37" t="n"/>
      <c r="AE161" s="37" t="n"/>
      <c r="AF161" s="35" t="n"/>
      <c r="AG161" s="35" t="n"/>
      <c r="AH161" s="37" t="n"/>
    </row>
    <row r="162">
      <c r="A162" s="35" t="n"/>
      <c r="B162" s="36" t="n"/>
      <c r="C162" s="37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7" t="n"/>
      <c r="AD162" s="37" t="n"/>
      <c r="AE162" s="37" t="n"/>
      <c r="AF162" s="35" t="n"/>
      <c r="AG162" s="35" t="n"/>
      <c r="AH162" s="37" t="n"/>
    </row>
    <row r="163">
      <c r="A163" s="35" t="n"/>
      <c r="B163" s="36" t="n"/>
      <c r="C163" s="37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7" t="n"/>
      <c r="AD163" s="37" t="n"/>
      <c r="AE163" s="37" t="n"/>
      <c r="AF163" s="35" t="n"/>
      <c r="AG163" s="35" t="n"/>
      <c r="AH163" s="37" t="n"/>
    </row>
    <row r="164">
      <c r="A164" s="35" t="n"/>
      <c r="B164" s="36" t="n"/>
      <c r="C164" s="37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7" t="n"/>
      <c r="AD164" s="37" t="n"/>
      <c r="AE164" s="37" t="n"/>
      <c r="AF164" s="35" t="n"/>
      <c r="AG164" s="35" t="n"/>
      <c r="AH164" s="37" t="n"/>
    </row>
    <row r="165">
      <c r="A165" s="35" t="n"/>
      <c r="B165" s="36" t="n"/>
      <c r="C165" s="37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7" t="n"/>
      <c r="AD165" s="37" t="n"/>
      <c r="AE165" s="37" t="n"/>
      <c r="AF165" s="35" t="n"/>
      <c r="AG165" s="35" t="n"/>
      <c r="AH165" s="37" t="n"/>
    </row>
    <row r="166">
      <c r="A166" s="35" t="n"/>
      <c r="B166" s="36" t="n"/>
      <c r="C166" s="37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7" t="n"/>
      <c r="AD166" s="37" t="n"/>
      <c r="AE166" s="37" t="n"/>
      <c r="AF166" s="35" t="n"/>
      <c r="AG166" s="35" t="n"/>
      <c r="AH166" s="37" t="n"/>
    </row>
    <row r="167">
      <c r="A167" s="35" t="n"/>
      <c r="B167" s="36" t="n"/>
      <c r="C167" s="37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7" t="n"/>
      <c r="AD167" s="37" t="n"/>
      <c r="AE167" s="37" t="n"/>
      <c r="AF167" s="35" t="n"/>
      <c r="AG167" s="35" t="n"/>
      <c r="AH167" s="37" t="n"/>
    </row>
    <row r="168">
      <c r="A168" s="35" t="n"/>
      <c r="B168" s="36" t="n"/>
      <c r="C168" s="37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7" t="n"/>
      <c r="AD168" s="37" t="n"/>
      <c r="AE168" s="37" t="n"/>
      <c r="AF168" s="35" t="n"/>
      <c r="AG168" s="35" t="n"/>
      <c r="AH168" s="37" t="n"/>
    </row>
    <row r="169">
      <c r="A169" s="35" t="n"/>
      <c r="B169" s="36" t="n"/>
      <c r="C169" s="37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7" t="n"/>
      <c r="AD169" s="37" t="n"/>
      <c r="AE169" s="37" t="n"/>
      <c r="AF169" s="35" t="n"/>
      <c r="AG169" s="35" t="n"/>
      <c r="AH169" s="37" t="n"/>
    </row>
    <row r="170">
      <c r="A170" s="35" t="n"/>
      <c r="B170" s="36" t="n"/>
      <c r="C170" s="37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7" t="n"/>
      <c r="AD170" s="37" t="n"/>
      <c r="AE170" s="37" t="n"/>
      <c r="AF170" s="35" t="n"/>
      <c r="AG170" s="35" t="n"/>
      <c r="AH170" s="37" t="n"/>
    </row>
    <row r="171">
      <c r="A171" s="35" t="n"/>
      <c r="B171" s="36" t="n"/>
      <c r="C171" s="37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7" t="n"/>
      <c r="AD171" s="37" t="n"/>
      <c r="AE171" s="37" t="n"/>
      <c r="AF171" s="35" t="n"/>
      <c r="AG171" s="35" t="n"/>
      <c r="AH171" s="37" t="n"/>
    </row>
    <row r="172">
      <c r="A172" s="35" t="n"/>
      <c r="B172" s="36" t="n"/>
      <c r="C172" s="37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7" t="n"/>
      <c r="AD172" s="37" t="n"/>
      <c r="AE172" s="37" t="n"/>
      <c r="AF172" s="35" t="n"/>
      <c r="AG172" s="35" t="n"/>
      <c r="AH172" s="37" t="n"/>
    </row>
    <row r="173">
      <c r="A173" s="35" t="n"/>
      <c r="B173" s="36" t="n"/>
      <c r="C173" s="37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7" t="n"/>
      <c r="AD173" s="37" t="n"/>
      <c r="AE173" s="37" t="n"/>
      <c r="AF173" s="35" t="n"/>
      <c r="AG173" s="35" t="n"/>
      <c r="AH173" s="37" t="n"/>
    </row>
    <row r="174">
      <c r="A174" s="35" t="n"/>
      <c r="B174" s="36" t="n"/>
      <c r="C174" s="37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7" t="n"/>
      <c r="AD174" s="37" t="n"/>
      <c r="AE174" s="37" t="n"/>
      <c r="AF174" s="35" t="n"/>
      <c r="AG174" s="35" t="n"/>
      <c r="AH174" s="37" t="n"/>
    </row>
    <row r="175">
      <c r="A175" s="35" t="n"/>
      <c r="B175" s="36" t="n"/>
      <c r="C175" s="37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7" t="n"/>
      <c r="AD175" s="37" t="n"/>
      <c r="AE175" s="37" t="n"/>
      <c r="AF175" s="35" t="n"/>
      <c r="AG175" s="35" t="n"/>
      <c r="AH175" s="37" t="n"/>
    </row>
    <row r="176">
      <c r="A176" s="35" t="n"/>
      <c r="B176" s="36" t="n"/>
      <c r="C176" s="37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7" t="n"/>
      <c r="AD176" s="37" t="n"/>
      <c r="AE176" s="37" t="n"/>
      <c r="AF176" s="35" t="n"/>
      <c r="AG176" s="35" t="n"/>
      <c r="AH176" s="37" t="n"/>
    </row>
    <row r="177">
      <c r="A177" s="35" t="n"/>
      <c r="B177" s="36" t="n"/>
      <c r="C177" s="37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7" t="n"/>
      <c r="AD177" s="37" t="n"/>
      <c r="AE177" s="37" t="n"/>
      <c r="AF177" s="35" t="n"/>
      <c r="AG177" s="35" t="n"/>
      <c r="AH177" s="37" t="n"/>
    </row>
    <row r="178">
      <c r="A178" s="35" t="n"/>
      <c r="B178" s="36" t="n"/>
      <c r="C178" s="37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7" t="n"/>
      <c r="AD178" s="37" t="n"/>
      <c r="AE178" s="37" t="n"/>
      <c r="AF178" s="35" t="n"/>
      <c r="AG178" s="35" t="n"/>
      <c r="AH178" s="37" t="n"/>
    </row>
    <row r="179">
      <c r="A179" s="35" t="n"/>
      <c r="B179" s="36" t="n"/>
      <c r="C179" s="37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7" t="n"/>
      <c r="AD179" s="37" t="n"/>
      <c r="AE179" s="37" t="n"/>
      <c r="AF179" s="35" t="n"/>
      <c r="AG179" s="35" t="n"/>
      <c r="AH179" s="37" t="n"/>
    </row>
    <row r="180">
      <c r="A180" s="35" t="n"/>
      <c r="B180" s="36" t="n"/>
      <c r="C180" s="37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7" t="n"/>
      <c r="AD180" s="37" t="n"/>
      <c r="AE180" s="37" t="n"/>
      <c r="AF180" s="35" t="n"/>
      <c r="AG180" s="35" t="n"/>
      <c r="AH180" s="37" t="n"/>
    </row>
    <row r="181">
      <c r="A181" s="35" t="n"/>
      <c r="B181" s="36" t="n"/>
      <c r="C181" s="37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7" t="n"/>
      <c r="AD181" s="37" t="n"/>
      <c r="AE181" s="37" t="n"/>
      <c r="AF181" s="35" t="n"/>
      <c r="AG181" s="35" t="n"/>
      <c r="AH181" s="37" t="n"/>
    </row>
    <row r="182">
      <c r="A182" s="35" t="n"/>
      <c r="B182" s="36" t="n"/>
      <c r="C182" s="37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7" t="n"/>
      <c r="AD182" s="37" t="n"/>
      <c r="AE182" s="37" t="n"/>
      <c r="AF182" s="35" t="n"/>
      <c r="AG182" s="35" t="n"/>
      <c r="AH182" s="37" t="n"/>
    </row>
    <row r="183">
      <c r="A183" s="35" t="n"/>
      <c r="B183" s="36" t="n"/>
      <c r="C183" s="37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7" t="n"/>
      <c r="AD183" s="37" t="n"/>
      <c r="AE183" s="37" t="n"/>
      <c r="AF183" s="35" t="n"/>
      <c r="AG183" s="35" t="n"/>
      <c r="AH183" s="37" t="n"/>
    </row>
    <row r="184">
      <c r="A184" s="35" t="n"/>
      <c r="B184" s="36" t="n"/>
      <c r="C184" s="37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7" t="n"/>
      <c r="AD184" s="37" t="n"/>
      <c r="AE184" s="37" t="n"/>
      <c r="AF184" s="35" t="n"/>
      <c r="AG184" s="35" t="n"/>
      <c r="AH184" s="37" t="n"/>
    </row>
    <row r="185">
      <c r="A185" s="35" t="n"/>
      <c r="B185" s="36" t="n"/>
      <c r="C185" s="37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7" t="n"/>
      <c r="AD185" s="37" t="n"/>
      <c r="AE185" s="37" t="n"/>
      <c r="AF185" s="35" t="n"/>
      <c r="AG185" s="35" t="n"/>
      <c r="AH185" s="37" t="n"/>
    </row>
    <row r="186">
      <c r="A186" s="35" t="n"/>
      <c r="B186" s="36" t="n"/>
      <c r="C186" s="37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7" t="n"/>
      <c r="AD186" s="37" t="n"/>
      <c r="AE186" s="37" t="n"/>
      <c r="AF186" s="35" t="n"/>
      <c r="AG186" s="35" t="n"/>
      <c r="AH186" s="37" t="n"/>
    </row>
    <row r="187">
      <c r="A187" s="35" t="n"/>
      <c r="B187" s="36" t="n"/>
      <c r="C187" s="37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7" t="n"/>
      <c r="AD187" s="37" t="n"/>
      <c r="AE187" s="37" t="n"/>
      <c r="AF187" s="35" t="n"/>
      <c r="AG187" s="35" t="n"/>
      <c r="AH187" s="37" t="n"/>
    </row>
    <row r="188">
      <c r="A188" s="35" t="n"/>
      <c r="B188" s="36" t="n"/>
      <c r="C188" s="37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7" t="n"/>
      <c r="AD188" s="37" t="n"/>
      <c r="AE188" s="37" t="n"/>
      <c r="AF188" s="35" t="n"/>
      <c r="AG188" s="35" t="n"/>
      <c r="AH188" s="37" t="n"/>
    </row>
    <row r="189">
      <c r="A189" s="35" t="n"/>
      <c r="B189" s="36" t="n"/>
      <c r="C189" s="37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7" t="n"/>
      <c r="AD189" s="37" t="n"/>
      <c r="AE189" s="37" t="n"/>
      <c r="AF189" s="35" t="n"/>
      <c r="AG189" s="35" t="n"/>
      <c r="AH189" s="37" t="n"/>
    </row>
    <row r="190">
      <c r="A190" s="35" t="n"/>
      <c r="B190" s="36" t="n"/>
      <c r="C190" s="37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7" t="n"/>
      <c r="AD190" s="37" t="n"/>
      <c r="AE190" s="37" t="n"/>
      <c r="AF190" s="35" t="n"/>
      <c r="AG190" s="35" t="n"/>
      <c r="AH190" s="37" t="n"/>
    </row>
    <row r="191">
      <c r="A191" s="35" t="n"/>
      <c r="B191" s="36" t="n"/>
      <c r="C191" s="37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7" t="n"/>
      <c r="AD191" s="37" t="n"/>
      <c r="AE191" s="37" t="n"/>
      <c r="AF191" s="35" t="n"/>
      <c r="AG191" s="35" t="n"/>
      <c r="AH191" s="37" t="n"/>
    </row>
    <row r="192">
      <c r="A192" s="35" t="n"/>
      <c r="B192" s="36" t="n"/>
      <c r="C192" s="37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7" t="n"/>
      <c r="AD192" s="37" t="n"/>
      <c r="AE192" s="37" t="n"/>
      <c r="AF192" s="35" t="n"/>
      <c r="AG192" s="35" t="n"/>
      <c r="AH192" s="37" t="n"/>
    </row>
    <row r="193">
      <c r="A193" s="35" t="n"/>
      <c r="B193" s="36" t="n"/>
      <c r="C193" s="37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7" t="n"/>
      <c r="AD193" s="37" t="n"/>
      <c r="AE193" s="37" t="n"/>
      <c r="AF193" s="35" t="n"/>
      <c r="AG193" s="35" t="n"/>
      <c r="AH193" s="37" t="n"/>
    </row>
    <row r="194">
      <c r="A194" s="35" t="n"/>
      <c r="B194" s="36" t="n"/>
      <c r="C194" s="37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7" t="n"/>
      <c r="AD194" s="37" t="n"/>
      <c r="AE194" s="37" t="n"/>
      <c r="AF194" s="35" t="n"/>
      <c r="AG194" s="35" t="n"/>
      <c r="AH194" s="37" t="n"/>
    </row>
    <row r="195">
      <c r="A195" s="35" t="n"/>
      <c r="B195" s="36" t="n"/>
      <c r="C195" s="37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7" t="n"/>
      <c r="AD195" s="37" t="n"/>
      <c r="AE195" s="37" t="n"/>
      <c r="AF195" s="35" t="n"/>
      <c r="AG195" s="35" t="n"/>
      <c r="AH195" s="37" t="n"/>
    </row>
    <row r="196">
      <c r="A196" s="35" t="n"/>
      <c r="B196" s="36" t="n"/>
      <c r="C196" s="37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7" t="n"/>
      <c r="AD196" s="37" t="n"/>
      <c r="AE196" s="37" t="n"/>
      <c r="AF196" s="35" t="n"/>
      <c r="AG196" s="35" t="n"/>
      <c r="AH196" s="37" t="n"/>
    </row>
    <row r="197">
      <c r="A197" s="35" t="n"/>
      <c r="B197" s="36" t="n"/>
      <c r="C197" s="37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7" t="n"/>
      <c r="AD197" s="37" t="n"/>
      <c r="AE197" s="37" t="n"/>
      <c r="AF197" s="35" t="n"/>
      <c r="AG197" s="35" t="n"/>
      <c r="AH197" s="37" t="n"/>
    </row>
    <row r="198">
      <c r="A198" s="35" t="n"/>
      <c r="B198" s="36" t="n"/>
      <c r="C198" s="37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7" t="n"/>
      <c r="AD198" s="37" t="n"/>
      <c r="AE198" s="37" t="n"/>
      <c r="AF198" s="35" t="n"/>
      <c r="AG198" s="35" t="n"/>
      <c r="AH198" s="37" t="n"/>
    </row>
    <row r="199">
      <c r="A199" s="35" t="n"/>
      <c r="B199" s="36" t="n"/>
      <c r="C199" s="37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7" t="n"/>
      <c r="AD199" s="37" t="n"/>
      <c r="AE199" s="37" t="n"/>
      <c r="AF199" s="35" t="n"/>
      <c r="AG199" s="35" t="n"/>
      <c r="AH199" s="37" t="n"/>
    </row>
    <row r="200">
      <c r="A200" s="35" t="n"/>
      <c r="B200" s="36" t="n"/>
      <c r="C200" s="37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7" t="n"/>
      <c r="AD200" s="37" t="n"/>
      <c r="AE200" s="37" t="n"/>
      <c r="AF200" s="35" t="n"/>
      <c r="AG200" s="35" t="n"/>
      <c r="AH200" s="37" t="n"/>
    </row>
    <row r="201">
      <c r="A201" s="35" t="n"/>
      <c r="B201" s="36" t="n"/>
      <c r="C201" s="37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7" t="n"/>
      <c r="AD201" s="37" t="n"/>
      <c r="AE201" s="37" t="n"/>
      <c r="AF201" s="35" t="n"/>
      <c r="AG201" s="35" t="n"/>
      <c r="AH201" s="37" t="n"/>
    </row>
    <row r="202">
      <c r="A202" s="35" t="n"/>
      <c r="B202" s="36" t="n"/>
      <c r="C202" s="37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7" t="n"/>
      <c r="AD202" s="37" t="n"/>
      <c r="AE202" s="37" t="n"/>
      <c r="AF202" s="35" t="n"/>
      <c r="AG202" s="35" t="n"/>
      <c r="AH202" s="37" t="n"/>
    </row>
    <row r="203">
      <c r="A203" s="35" t="n"/>
      <c r="B203" s="36" t="n"/>
      <c r="C203" s="37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7" t="n"/>
      <c r="AD203" s="37" t="n"/>
      <c r="AE203" s="37" t="n"/>
      <c r="AF203" s="35" t="n"/>
      <c r="AG203" s="35" t="n"/>
      <c r="AH203" s="37" t="n"/>
    </row>
    <row r="204">
      <c r="A204" s="35" t="n"/>
      <c r="B204" s="36" t="n"/>
      <c r="C204" s="37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7" t="n"/>
      <c r="AD204" s="37" t="n"/>
      <c r="AE204" s="37" t="n"/>
      <c r="AF204" s="35" t="n"/>
      <c r="AG204" s="35" t="n"/>
      <c r="AH204" s="37" t="n"/>
    </row>
    <row r="205">
      <c r="A205" s="35" t="n"/>
      <c r="B205" s="36" t="n"/>
      <c r="C205" s="37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7" t="n"/>
      <c r="AD205" s="37" t="n"/>
      <c r="AE205" s="37" t="n"/>
      <c r="AF205" s="35" t="n"/>
      <c r="AG205" s="35" t="n"/>
      <c r="AH205" s="37" t="n"/>
    </row>
    <row r="206">
      <c r="A206" s="35" t="n"/>
      <c r="B206" s="36" t="n"/>
      <c r="C206" s="37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7" t="n"/>
      <c r="AD206" s="37" t="n"/>
      <c r="AE206" s="37" t="n"/>
      <c r="AF206" s="35" t="n"/>
      <c r="AG206" s="35" t="n"/>
      <c r="AH206" s="37" t="n"/>
    </row>
    <row r="207">
      <c r="A207" s="35" t="n"/>
      <c r="B207" s="36" t="n"/>
      <c r="C207" s="37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7" t="n"/>
      <c r="AD207" s="37" t="n"/>
      <c r="AE207" s="37" t="n"/>
      <c r="AF207" s="35" t="n"/>
      <c r="AG207" s="35" t="n"/>
      <c r="AH207" s="37" t="n"/>
    </row>
    <row r="208">
      <c r="A208" s="35" t="n"/>
      <c r="B208" s="36" t="n"/>
      <c r="C208" s="37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7" t="n"/>
      <c r="AD208" s="37" t="n"/>
      <c r="AE208" s="37" t="n"/>
      <c r="AF208" s="35" t="n"/>
      <c r="AG208" s="35" t="n"/>
      <c r="AH208" s="37" t="n"/>
    </row>
    <row r="209">
      <c r="A209" s="35" t="n"/>
      <c r="B209" s="36" t="n"/>
      <c r="C209" s="37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7" t="n"/>
      <c r="AD209" s="37" t="n"/>
      <c r="AE209" s="37" t="n"/>
      <c r="AF209" s="35" t="n"/>
      <c r="AG209" s="35" t="n"/>
      <c r="AH209" s="37" t="n"/>
    </row>
    <row r="210">
      <c r="A210" s="35" t="n"/>
      <c r="B210" s="36" t="n"/>
      <c r="C210" s="37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7" t="n"/>
      <c r="AD210" s="37" t="n"/>
      <c r="AE210" s="37" t="n"/>
      <c r="AF210" s="35" t="n"/>
      <c r="AG210" s="35" t="n"/>
      <c r="AH210" s="37" t="n"/>
    </row>
    <row r="211">
      <c r="A211" s="35" t="n"/>
      <c r="B211" s="36" t="n"/>
      <c r="C211" s="37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7" t="n"/>
      <c r="AD211" s="37" t="n"/>
      <c r="AE211" s="37" t="n"/>
      <c r="AF211" s="35" t="n"/>
      <c r="AG211" s="35" t="n"/>
      <c r="AH211" s="37" t="n"/>
    </row>
    <row r="212">
      <c r="A212" s="35" t="n"/>
      <c r="B212" s="36" t="n"/>
      <c r="C212" s="37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7" t="n"/>
      <c r="AD212" s="37" t="n"/>
      <c r="AE212" s="37" t="n"/>
      <c r="AF212" s="35" t="n"/>
      <c r="AG212" s="35" t="n"/>
      <c r="AH212" s="37" t="n"/>
    </row>
    <row r="213">
      <c r="A213" s="35" t="n"/>
      <c r="B213" s="36" t="n"/>
      <c r="C213" s="37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7" t="n"/>
      <c r="AD213" s="37" t="n"/>
      <c r="AE213" s="37" t="n"/>
      <c r="AF213" s="35" t="n"/>
      <c r="AG213" s="35" t="n"/>
      <c r="AH213" s="37" t="n"/>
    </row>
    <row r="214">
      <c r="A214" s="35" t="n"/>
      <c r="B214" s="36" t="n"/>
      <c r="C214" s="37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7" t="n"/>
      <c r="AD214" s="37" t="n"/>
      <c r="AE214" s="37" t="n"/>
      <c r="AF214" s="35" t="n"/>
      <c r="AG214" s="35" t="n"/>
      <c r="AH214" s="37" t="n"/>
    </row>
    <row r="215">
      <c r="A215" s="35" t="n"/>
      <c r="B215" s="36" t="n"/>
      <c r="C215" s="37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7" t="n"/>
      <c r="AD215" s="37" t="n"/>
      <c r="AE215" s="37" t="n"/>
      <c r="AF215" s="35" t="n"/>
      <c r="AG215" s="35" t="n"/>
      <c r="AH215" s="37" t="n"/>
    </row>
    <row r="216">
      <c r="A216" s="35" t="n"/>
      <c r="B216" s="36" t="n"/>
      <c r="C216" s="37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7" t="n"/>
      <c r="AD216" s="37" t="n"/>
      <c r="AE216" s="37" t="n"/>
      <c r="AF216" s="35" t="n"/>
      <c r="AG216" s="35" t="n"/>
      <c r="AH216" s="37" t="n"/>
    </row>
    <row r="217">
      <c r="A217" s="35" t="n"/>
      <c r="B217" s="36" t="n"/>
      <c r="C217" s="37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7" t="n"/>
      <c r="AD217" s="37" t="n"/>
      <c r="AE217" s="37" t="n"/>
      <c r="AF217" s="35" t="n"/>
      <c r="AG217" s="35" t="n"/>
      <c r="AH217" s="37" t="n"/>
    </row>
    <row r="218">
      <c r="A218" s="35" t="n"/>
      <c r="B218" s="36" t="n"/>
      <c r="C218" s="37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7" t="n"/>
      <c r="AD218" s="37" t="n"/>
      <c r="AE218" s="37" t="n"/>
      <c r="AF218" s="35" t="n"/>
      <c r="AG218" s="35" t="n"/>
      <c r="AH218" s="37" t="n"/>
    </row>
    <row r="219">
      <c r="A219" s="35" t="n"/>
      <c r="B219" s="36" t="n"/>
      <c r="C219" s="37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7" t="n"/>
      <c r="AD219" s="37" t="n"/>
      <c r="AE219" s="37" t="n"/>
      <c r="AF219" s="35" t="n"/>
      <c r="AG219" s="35" t="n"/>
      <c r="AH219" s="37" t="n"/>
    </row>
    <row r="220">
      <c r="A220" s="35" t="n"/>
      <c r="B220" s="36" t="n"/>
      <c r="C220" s="37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7" t="n"/>
      <c r="AD220" s="37" t="n"/>
      <c r="AE220" s="37" t="n"/>
      <c r="AF220" s="35" t="n"/>
      <c r="AG220" s="35" t="n"/>
      <c r="AH220" s="37" t="n"/>
    </row>
    <row r="221">
      <c r="A221" s="35" t="n"/>
      <c r="B221" s="36" t="n"/>
      <c r="C221" s="37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7" t="n"/>
      <c r="AD221" s="37" t="n"/>
      <c r="AE221" s="37" t="n"/>
      <c r="AF221" s="35" t="n"/>
      <c r="AG221" s="35" t="n"/>
      <c r="AH221" s="37" t="n"/>
    </row>
    <row r="222">
      <c r="A222" s="35" t="n"/>
      <c r="B222" s="36" t="n"/>
      <c r="C222" s="37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7" t="n"/>
      <c r="AD222" s="37" t="n"/>
      <c r="AE222" s="37" t="n"/>
      <c r="AF222" s="35" t="n"/>
      <c r="AG222" s="35" t="n"/>
      <c r="AH222" s="37" t="n"/>
    </row>
    <row r="223">
      <c r="A223" s="35" t="n"/>
      <c r="B223" s="36" t="n"/>
      <c r="C223" s="37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7" t="n"/>
      <c r="AD223" s="37" t="n"/>
      <c r="AE223" s="37" t="n"/>
      <c r="AF223" s="35" t="n"/>
      <c r="AG223" s="35" t="n"/>
      <c r="AH223" s="37" t="n"/>
    </row>
    <row r="224">
      <c r="A224" s="35" t="n"/>
      <c r="B224" s="36" t="n"/>
      <c r="C224" s="37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7" t="n"/>
      <c r="AD224" s="37" t="n"/>
      <c r="AE224" s="37" t="n"/>
      <c r="AF224" s="35" t="n"/>
      <c r="AG224" s="35" t="n"/>
      <c r="AH224" s="37" t="n"/>
    </row>
    <row r="225">
      <c r="A225" s="35" t="n"/>
      <c r="B225" s="36" t="n"/>
      <c r="C225" s="37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7" t="n"/>
      <c r="AD225" s="37" t="n"/>
      <c r="AE225" s="37" t="n"/>
      <c r="AF225" s="35" t="n"/>
      <c r="AG225" s="35" t="n"/>
      <c r="AH225" s="37" t="n"/>
    </row>
    <row r="226">
      <c r="A226" s="35" t="n"/>
      <c r="B226" s="36" t="n"/>
      <c r="C226" s="37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7" t="n"/>
      <c r="AD226" s="37" t="n"/>
      <c r="AE226" s="37" t="n"/>
      <c r="AF226" s="35" t="n"/>
      <c r="AG226" s="35" t="n"/>
      <c r="AH226" s="37" t="n"/>
    </row>
    <row r="227">
      <c r="A227" s="35" t="n"/>
      <c r="B227" s="36" t="n"/>
      <c r="C227" s="37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7" t="n"/>
      <c r="AD227" s="37" t="n"/>
      <c r="AE227" s="37" t="n"/>
      <c r="AF227" s="35" t="n"/>
      <c r="AG227" s="35" t="n"/>
      <c r="AH227" s="37" t="n"/>
    </row>
    <row r="228">
      <c r="A228" s="35" t="n"/>
      <c r="B228" s="36" t="n"/>
      <c r="C228" s="37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7" t="n"/>
      <c r="AD228" s="37" t="n"/>
      <c r="AE228" s="37" t="n"/>
      <c r="AF228" s="35" t="n"/>
      <c r="AG228" s="35" t="n"/>
      <c r="AH228" s="37" t="n"/>
    </row>
    <row r="229">
      <c r="A229" s="35" t="n"/>
      <c r="B229" s="36" t="n"/>
      <c r="C229" s="37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7" t="n"/>
      <c r="AD229" s="37" t="n"/>
      <c r="AE229" s="37" t="n"/>
      <c r="AF229" s="35" t="n"/>
      <c r="AG229" s="35" t="n"/>
      <c r="AH229" s="37" t="n"/>
    </row>
    <row r="230">
      <c r="A230" s="35" t="n"/>
      <c r="B230" s="36" t="n"/>
      <c r="C230" s="37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7" t="n"/>
      <c r="AD230" s="37" t="n"/>
      <c r="AE230" s="37" t="n"/>
      <c r="AF230" s="35" t="n"/>
      <c r="AG230" s="35" t="n"/>
      <c r="AH230" s="37" t="n"/>
    </row>
    <row r="231">
      <c r="A231" s="35" t="n"/>
      <c r="B231" s="36" t="n"/>
      <c r="C231" s="37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7" t="n"/>
      <c r="AD231" s="37" t="n"/>
      <c r="AE231" s="37" t="n"/>
      <c r="AF231" s="35" t="n"/>
      <c r="AG231" s="35" t="n"/>
      <c r="AH231" s="37" t="n"/>
    </row>
    <row r="232">
      <c r="A232" s="35" t="n"/>
      <c r="B232" s="36" t="n"/>
      <c r="C232" s="37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7" t="n"/>
      <c r="AD232" s="37" t="n"/>
      <c r="AE232" s="37" t="n"/>
      <c r="AF232" s="35" t="n"/>
      <c r="AG232" s="35" t="n"/>
      <c r="AH232" s="37" t="n"/>
    </row>
    <row r="233">
      <c r="A233" s="35" t="n"/>
      <c r="B233" s="36" t="n"/>
      <c r="C233" s="37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7" t="n"/>
      <c r="AD233" s="37" t="n"/>
      <c r="AE233" s="37" t="n"/>
      <c r="AF233" s="35" t="n"/>
      <c r="AG233" s="35" t="n"/>
      <c r="AH233" s="37" t="n"/>
    </row>
    <row r="234">
      <c r="A234" s="35" t="n"/>
      <c r="B234" s="36" t="n"/>
      <c r="C234" s="37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7" t="n"/>
      <c r="AD234" s="37" t="n"/>
      <c r="AE234" s="37" t="n"/>
      <c r="AF234" s="35" t="n"/>
      <c r="AG234" s="35" t="n"/>
      <c r="AH234" s="37" t="n"/>
    </row>
    <row r="235">
      <c r="A235" s="35" t="n"/>
      <c r="B235" s="36" t="n"/>
      <c r="C235" s="37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7" t="n"/>
      <c r="AD235" s="37" t="n"/>
      <c r="AE235" s="37" t="n"/>
      <c r="AF235" s="35" t="n"/>
      <c r="AG235" s="35" t="n"/>
      <c r="AH235" s="37" t="n"/>
    </row>
    <row r="236">
      <c r="A236" s="35" t="n"/>
      <c r="B236" s="36" t="n"/>
      <c r="C236" s="37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7" t="n"/>
      <c r="AD236" s="37" t="n"/>
      <c r="AE236" s="37" t="n"/>
      <c r="AF236" s="35" t="n"/>
      <c r="AG236" s="35" t="n"/>
      <c r="AH236" s="37" t="n"/>
    </row>
    <row r="237">
      <c r="A237" s="35" t="n"/>
      <c r="B237" s="36" t="n"/>
      <c r="C237" s="37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7" t="n"/>
      <c r="AD237" s="37" t="n"/>
      <c r="AE237" s="37" t="n"/>
      <c r="AF237" s="35" t="n"/>
      <c r="AG237" s="35" t="n"/>
      <c r="AH237" s="37" t="n"/>
    </row>
    <row r="238">
      <c r="A238" s="35" t="n"/>
      <c r="B238" s="36" t="n"/>
      <c r="C238" s="37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7" t="n"/>
      <c r="AD238" s="37" t="n"/>
      <c r="AE238" s="37" t="n"/>
      <c r="AF238" s="35" t="n"/>
      <c r="AG238" s="35" t="n"/>
      <c r="AH238" s="37" t="n"/>
    </row>
    <row r="239">
      <c r="A239" s="35" t="n"/>
      <c r="B239" s="36" t="n"/>
      <c r="C239" s="37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7" t="n"/>
      <c r="AD239" s="37" t="n"/>
      <c r="AE239" s="37" t="n"/>
      <c r="AF239" s="35" t="n"/>
      <c r="AG239" s="35" t="n"/>
      <c r="AH239" s="37" t="n"/>
    </row>
    <row r="240">
      <c r="A240" s="35" t="n"/>
      <c r="B240" s="36" t="n"/>
      <c r="C240" s="37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7" t="n"/>
      <c r="AD240" s="37" t="n"/>
      <c r="AE240" s="37" t="n"/>
      <c r="AF240" s="35" t="n"/>
      <c r="AG240" s="35" t="n"/>
      <c r="AH240" s="37" t="n"/>
    </row>
    <row r="241">
      <c r="A241" s="35" t="n"/>
      <c r="B241" s="36" t="n"/>
      <c r="C241" s="37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7" t="n"/>
      <c r="AD241" s="37" t="n"/>
      <c r="AE241" s="37" t="n"/>
      <c r="AF241" s="35" t="n"/>
      <c r="AG241" s="35" t="n"/>
      <c r="AH241" s="37" t="n"/>
    </row>
    <row r="242">
      <c r="A242" s="35" t="n"/>
      <c r="B242" s="36" t="n"/>
      <c r="C242" s="37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7" t="n"/>
      <c r="AD242" s="37" t="n"/>
      <c r="AE242" s="37" t="n"/>
      <c r="AF242" s="35" t="n"/>
      <c r="AG242" s="35" t="n"/>
      <c r="AH242" s="37" t="n"/>
    </row>
    <row r="243">
      <c r="A243" s="35" t="n"/>
      <c r="B243" s="36" t="n"/>
      <c r="C243" s="37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7" t="n"/>
      <c r="AD243" s="37" t="n"/>
      <c r="AE243" s="37" t="n"/>
      <c r="AF243" s="35" t="n"/>
      <c r="AG243" s="35" t="n"/>
      <c r="AH243" s="37" t="n"/>
    </row>
    <row r="244">
      <c r="A244" s="35" t="n"/>
      <c r="B244" s="36" t="n"/>
      <c r="C244" s="37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7" t="n"/>
      <c r="AD244" s="37" t="n"/>
      <c r="AE244" s="37" t="n"/>
      <c r="AF244" s="35" t="n"/>
      <c r="AG244" s="35" t="n"/>
      <c r="AH244" s="37" t="n"/>
    </row>
    <row r="245">
      <c r="A245" s="35" t="n"/>
      <c r="B245" s="36" t="n"/>
      <c r="C245" s="37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7" t="n"/>
      <c r="AD245" s="37" t="n"/>
      <c r="AE245" s="37" t="n"/>
      <c r="AF245" s="35" t="n"/>
      <c r="AG245" s="35" t="n"/>
      <c r="AH245" s="37" t="n"/>
    </row>
    <row r="246">
      <c r="A246" s="35" t="n"/>
      <c r="B246" s="36" t="n"/>
      <c r="C246" s="37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7" t="n"/>
      <c r="AD246" s="37" t="n"/>
      <c r="AE246" s="37" t="n"/>
      <c r="AF246" s="35" t="n"/>
      <c r="AG246" s="35" t="n"/>
      <c r="AH246" s="37" t="n"/>
    </row>
    <row r="247">
      <c r="A247" s="35" t="n"/>
      <c r="B247" s="36" t="n"/>
      <c r="C247" s="37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7" t="n"/>
      <c r="AD247" s="37" t="n"/>
      <c r="AE247" s="37" t="n"/>
      <c r="AF247" s="35" t="n"/>
      <c r="AG247" s="35" t="n"/>
      <c r="AH247" s="37" t="n"/>
    </row>
    <row r="248">
      <c r="A248" s="35" t="n"/>
      <c r="B248" s="36" t="n"/>
      <c r="C248" s="37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7" t="n"/>
      <c r="AD248" s="37" t="n"/>
      <c r="AE248" s="37" t="n"/>
      <c r="AF248" s="35" t="n"/>
      <c r="AG248" s="35" t="n"/>
      <c r="AH248" s="37" t="n"/>
    </row>
    <row r="249">
      <c r="A249" s="35" t="n"/>
      <c r="B249" s="36" t="n"/>
      <c r="C249" s="37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7" t="n"/>
      <c r="AD249" s="37" t="n"/>
      <c r="AE249" s="37" t="n"/>
      <c r="AF249" s="35" t="n"/>
      <c r="AG249" s="35" t="n"/>
      <c r="AH249" s="37" t="n"/>
    </row>
    <row r="250">
      <c r="A250" s="35" t="n"/>
      <c r="B250" s="36" t="n"/>
      <c r="C250" s="37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7" t="n"/>
      <c r="AD250" s="37" t="n"/>
      <c r="AE250" s="37" t="n"/>
      <c r="AF250" s="35" t="n"/>
      <c r="AG250" s="35" t="n"/>
      <c r="AH250" s="37" t="n"/>
    </row>
    <row r="251">
      <c r="A251" s="35" t="n"/>
      <c r="B251" s="36" t="n"/>
      <c r="C251" s="37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7" t="n"/>
      <c r="AD251" s="37" t="n"/>
      <c r="AE251" s="37" t="n"/>
      <c r="AF251" s="35" t="n"/>
      <c r="AG251" s="35" t="n"/>
      <c r="AH251" s="37" t="n"/>
    </row>
    <row r="252">
      <c r="A252" s="35" t="n"/>
      <c r="B252" s="36" t="n"/>
      <c r="C252" s="37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7" t="n"/>
      <c r="AD252" s="37" t="n"/>
      <c r="AE252" s="37" t="n"/>
      <c r="AF252" s="35" t="n"/>
      <c r="AG252" s="35" t="n"/>
      <c r="AH252" s="37" t="n"/>
    </row>
    <row r="253">
      <c r="A253" s="35" t="n"/>
      <c r="B253" s="36" t="n"/>
      <c r="C253" s="37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7" t="n"/>
      <c r="AD253" s="37" t="n"/>
      <c r="AE253" s="37" t="n"/>
      <c r="AF253" s="35" t="n"/>
      <c r="AG253" s="35" t="n"/>
      <c r="AH253" s="37" t="n"/>
    </row>
    <row r="254">
      <c r="A254" s="35" t="n"/>
      <c r="B254" s="36" t="n"/>
      <c r="C254" s="37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7" t="n"/>
      <c r="AD254" s="37" t="n"/>
      <c r="AE254" s="37" t="n"/>
      <c r="AF254" s="35" t="n"/>
      <c r="AG254" s="35" t="n"/>
      <c r="AH254" s="37" t="n"/>
    </row>
    <row r="255">
      <c r="A255" s="35" t="n"/>
      <c r="B255" s="36" t="n"/>
      <c r="C255" s="37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7" t="n"/>
      <c r="AD255" s="37" t="n"/>
      <c r="AE255" s="37" t="n"/>
      <c r="AF255" s="35" t="n"/>
      <c r="AG255" s="35" t="n"/>
      <c r="AH255" s="37" t="n"/>
    </row>
    <row r="256">
      <c r="A256" s="35" t="n"/>
      <c r="B256" s="36" t="n"/>
      <c r="C256" s="37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7" t="n"/>
      <c r="AD256" s="37" t="n"/>
      <c r="AE256" s="37" t="n"/>
      <c r="AF256" s="35" t="n"/>
      <c r="AG256" s="35" t="n"/>
      <c r="AH256" s="37" t="n"/>
    </row>
    <row r="257">
      <c r="A257" s="35" t="n"/>
      <c r="B257" s="36" t="n"/>
      <c r="C257" s="37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7" t="n"/>
      <c r="AD257" s="37" t="n"/>
      <c r="AE257" s="37" t="n"/>
      <c r="AF257" s="35" t="n"/>
      <c r="AG257" s="35" t="n"/>
      <c r="AH257" s="37" t="n"/>
    </row>
    <row r="258">
      <c r="A258" s="35" t="n"/>
      <c r="B258" s="36" t="n"/>
      <c r="C258" s="37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7" t="n"/>
      <c r="AD258" s="37" t="n"/>
      <c r="AE258" s="37" t="n"/>
      <c r="AF258" s="35" t="n"/>
      <c r="AG258" s="35" t="n"/>
      <c r="AH258" s="37" t="n"/>
    </row>
    <row r="259">
      <c r="A259" s="35" t="n"/>
      <c r="B259" s="36" t="n"/>
      <c r="C259" s="37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7" t="n"/>
      <c r="AD259" s="37" t="n"/>
      <c r="AE259" s="37" t="n"/>
      <c r="AF259" s="35" t="n"/>
      <c r="AG259" s="35" t="n"/>
      <c r="AH259" s="37" t="n"/>
    </row>
    <row r="260">
      <c r="A260" s="35" t="n"/>
      <c r="B260" s="36" t="n"/>
      <c r="C260" s="37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7" t="n"/>
      <c r="AD260" s="37" t="n"/>
      <c r="AE260" s="37" t="n"/>
      <c r="AF260" s="35" t="n"/>
      <c r="AG260" s="35" t="n"/>
      <c r="AH260" s="37" t="n"/>
    </row>
    <row r="261">
      <c r="A261" s="35" t="n"/>
      <c r="B261" s="36" t="n"/>
      <c r="C261" s="37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7" t="n"/>
      <c r="AD261" s="37" t="n"/>
      <c r="AE261" s="37" t="n"/>
      <c r="AF261" s="35" t="n"/>
      <c r="AG261" s="35" t="n"/>
      <c r="AH261" s="37" t="n"/>
    </row>
    <row r="262">
      <c r="A262" s="35" t="n"/>
      <c r="B262" s="36" t="n"/>
      <c r="C262" s="37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7" t="n"/>
      <c r="AD262" s="37" t="n"/>
      <c r="AE262" s="37" t="n"/>
      <c r="AF262" s="35" t="n"/>
      <c r="AG262" s="35" t="n"/>
      <c r="AH262" s="37" t="n"/>
    </row>
    <row r="263">
      <c r="A263" s="35" t="n"/>
      <c r="B263" s="36" t="n"/>
      <c r="C263" s="37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7" t="n"/>
      <c r="AD263" s="37" t="n"/>
      <c r="AE263" s="37" t="n"/>
      <c r="AF263" s="35" t="n"/>
      <c r="AG263" s="35" t="n"/>
      <c r="AH263" s="37" t="n"/>
    </row>
    <row r="264">
      <c r="A264" s="35" t="n"/>
      <c r="B264" s="36" t="n"/>
      <c r="C264" s="37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7" t="n"/>
      <c r="AD264" s="37" t="n"/>
      <c r="AE264" s="37" t="n"/>
      <c r="AF264" s="35" t="n"/>
      <c r="AG264" s="35" t="n"/>
      <c r="AH264" s="37" t="n"/>
    </row>
    <row r="265">
      <c r="A265" s="35" t="n"/>
      <c r="B265" s="36" t="n"/>
      <c r="C265" s="37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7" t="n"/>
      <c r="AD265" s="37" t="n"/>
      <c r="AE265" s="37" t="n"/>
      <c r="AF265" s="35" t="n"/>
      <c r="AG265" s="35" t="n"/>
      <c r="AH265" s="37" t="n"/>
    </row>
    <row r="266">
      <c r="A266" s="35" t="n"/>
      <c r="B266" s="36" t="n"/>
      <c r="C266" s="37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7" t="n"/>
      <c r="AD266" s="37" t="n"/>
      <c r="AE266" s="37" t="n"/>
      <c r="AF266" s="35" t="n"/>
      <c r="AG266" s="35" t="n"/>
      <c r="AH266" s="37" t="n"/>
    </row>
    <row r="267">
      <c r="A267" s="35" t="n"/>
      <c r="B267" s="36" t="n"/>
      <c r="C267" s="37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7" t="n"/>
      <c r="AD267" s="37" t="n"/>
      <c r="AE267" s="37" t="n"/>
      <c r="AF267" s="35" t="n"/>
      <c r="AG267" s="35" t="n"/>
      <c r="AH267" s="37" t="n"/>
    </row>
    <row r="268">
      <c r="A268" s="35" t="n"/>
      <c r="B268" s="36" t="n"/>
      <c r="C268" s="37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7" t="n"/>
      <c r="AD268" s="37" t="n"/>
      <c r="AE268" s="37" t="n"/>
      <c r="AF268" s="35" t="n"/>
      <c r="AG268" s="35" t="n"/>
      <c r="AH268" s="37" t="n"/>
    </row>
    <row r="269">
      <c r="A269" s="35" t="n"/>
      <c r="B269" s="36" t="n"/>
      <c r="C269" s="37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7" t="n"/>
      <c r="AD269" s="37" t="n"/>
      <c r="AE269" s="37" t="n"/>
      <c r="AF269" s="35" t="n"/>
      <c r="AG269" s="35" t="n"/>
      <c r="AH269" s="37" t="n"/>
    </row>
    <row r="270">
      <c r="A270" s="35" t="n"/>
      <c r="B270" s="36" t="n"/>
      <c r="C270" s="37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7" t="n"/>
      <c r="AD270" s="37" t="n"/>
      <c r="AE270" s="37" t="n"/>
      <c r="AF270" s="35" t="n"/>
      <c r="AG270" s="35" t="n"/>
      <c r="AH270" s="37" t="n"/>
    </row>
    <row r="271">
      <c r="A271" s="35" t="n"/>
      <c r="B271" s="36" t="n"/>
      <c r="C271" s="37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7" t="n"/>
      <c r="AD271" s="37" t="n"/>
      <c r="AE271" s="37" t="n"/>
      <c r="AF271" s="35" t="n"/>
      <c r="AG271" s="35" t="n"/>
      <c r="AH271" s="37" t="n"/>
    </row>
    <row r="272">
      <c r="A272" s="35" t="n"/>
      <c r="B272" s="36" t="n"/>
      <c r="C272" s="37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7" t="n"/>
      <c r="AD272" s="37" t="n"/>
      <c r="AE272" s="37" t="n"/>
      <c r="AF272" s="35" t="n"/>
      <c r="AG272" s="35" t="n"/>
      <c r="AH272" s="37" t="n"/>
    </row>
    <row r="273">
      <c r="A273" s="35" t="n"/>
      <c r="B273" s="36" t="n"/>
      <c r="C273" s="37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7" t="n"/>
      <c r="AD273" s="37" t="n"/>
      <c r="AE273" s="37" t="n"/>
      <c r="AF273" s="35" t="n"/>
      <c r="AG273" s="35" t="n"/>
      <c r="AH273" s="37" t="n"/>
    </row>
    <row r="274">
      <c r="A274" s="35" t="n"/>
      <c r="B274" s="36" t="n"/>
      <c r="C274" s="37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7" t="n"/>
      <c r="AD274" s="37" t="n"/>
      <c r="AE274" s="37" t="n"/>
      <c r="AF274" s="35" t="n"/>
      <c r="AG274" s="35" t="n"/>
      <c r="AH274" s="37" t="n"/>
    </row>
    <row r="275">
      <c r="A275" s="35" t="n"/>
      <c r="B275" s="36" t="n"/>
      <c r="C275" s="37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7" t="n"/>
      <c r="AD275" s="37" t="n"/>
      <c r="AE275" s="37" t="n"/>
      <c r="AF275" s="35" t="n"/>
      <c r="AG275" s="35" t="n"/>
      <c r="AH275" s="37" t="n"/>
    </row>
    <row r="276">
      <c r="A276" s="35" t="n"/>
      <c r="B276" s="36" t="n"/>
      <c r="C276" s="37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7" t="n"/>
      <c r="AD276" s="37" t="n"/>
      <c r="AE276" s="37" t="n"/>
      <c r="AF276" s="35" t="n"/>
      <c r="AG276" s="35" t="n"/>
      <c r="AH276" s="37" t="n"/>
    </row>
    <row r="277">
      <c r="A277" s="35" t="n"/>
      <c r="B277" s="36" t="n"/>
      <c r="C277" s="37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7" t="n"/>
      <c r="AD277" s="37" t="n"/>
      <c r="AE277" s="37" t="n"/>
      <c r="AF277" s="35" t="n"/>
      <c r="AG277" s="35" t="n"/>
      <c r="AH277" s="37" t="n"/>
    </row>
    <row r="278">
      <c r="A278" s="35" t="n"/>
      <c r="B278" s="36" t="n"/>
      <c r="C278" s="37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7" t="n"/>
      <c r="AD278" s="37" t="n"/>
      <c r="AE278" s="37" t="n"/>
      <c r="AF278" s="35" t="n"/>
      <c r="AG278" s="35" t="n"/>
      <c r="AH278" s="37" t="n"/>
    </row>
    <row r="279">
      <c r="A279" s="35" t="n"/>
      <c r="B279" s="36" t="n"/>
      <c r="C279" s="37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7" t="n"/>
      <c r="AD279" s="37" t="n"/>
      <c r="AE279" s="37" t="n"/>
      <c r="AF279" s="35" t="n"/>
      <c r="AG279" s="35" t="n"/>
      <c r="AH279" s="37" t="n"/>
    </row>
    <row r="280">
      <c r="A280" s="35" t="n"/>
      <c r="B280" s="36" t="n"/>
      <c r="C280" s="37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7" t="n"/>
      <c r="AD280" s="37" t="n"/>
      <c r="AE280" s="37" t="n"/>
      <c r="AF280" s="35" t="n"/>
      <c r="AG280" s="35" t="n"/>
      <c r="AH280" s="37" t="n"/>
    </row>
    <row r="281">
      <c r="A281" s="35" t="n"/>
      <c r="B281" s="36" t="n"/>
      <c r="C281" s="37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7" t="n"/>
      <c r="AD281" s="37" t="n"/>
      <c r="AE281" s="37" t="n"/>
      <c r="AF281" s="35" t="n"/>
      <c r="AG281" s="35" t="n"/>
      <c r="AH281" s="37" t="n"/>
    </row>
    <row r="282">
      <c r="A282" s="35" t="n"/>
      <c r="B282" s="36" t="n"/>
      <c r="C282" s="37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7" t="n"/>
      <c r="AD282" s="37" t="n"/>
      <c r="AE282" s="37" t="n"/>
      <c r="AF282" s="35" t="n"/>
      <c r="AG282" s="35" t="n"/>
      <c r="AH282" s="37" t="n"/>
    </row>
    <row r="283">
      <c r="A283" s="35" t="n"/>
      <c r="B283" s="36" t="n"/>
      <c r="C283" s="37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7" t="n"/>
      <c r="AD283" s="37" t="n"/>
      <c r="AE283" s="37" t="n"/>
      <c r="AF283" s="35" t="n"/>
      <c r="AG283" s="35" t="n"/>
      <c r="AH283" s="37" t="n"/>
    </row>
    <row r="284">
      <c r="A284" s="35" t="n"/>
      <c r="B284" s="36" t="n"/>
      <c r="C284" s="37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7" t="n"/>
      <c r="AD284" s="37" t="n"/>
      <c r="AE284" s="37" t="n"/>
      <c r="AF284" s="35" t="n"/>
      <c r="AG284" s="35" t="n"/>
      <c r="AH284" s="37" t="n"/>
    </row>
    <row r="285">
      <c r="A285" s="35" t="n"/>
      <c r="B285" s="36" t="n"/>
      <c r="C285" s="37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7" t="n"/>
      <c r="AD285" s="37" t="n"/>
      <c r="AE285" s="37" t="n"/>
      <c r="AF285" s="35" t="n"/>
      <c r="AG285" s="35" t="n"/>
      <c r="AH285" s="37" t="n"/>
    </row>
    <row r="286">
      <c r="A286" s="35" t="n"/>
      <c r="B286" s="36" t="n"/>
      <c r="C286" s="37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7" t="n"/>
      <c r="AD286" s="37" t="n"/>
      <c r="AE286" s="37" t="n"/>
      <c r="AF286" s="35" t="n"/>
      <c r="AG286" s="35" t="n"/>
      <c r="AH286" s="37" t="n"/>
    </row>
    <row r="287">
      <c r="A287" s="35" t="n"/>
      <c r="B287" s="36" t="n"/>
      <c r="C287" s="37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7" t="n"/>
      <c r="AD287" s="37" t="n"/>
      <c r="AE287" s="37" t="n"/>
      <c r="AF287" s="35" t="n"/>
      <c r="AG287" s="35" t="n"/>
      <c r="AH287" s="37" t="n"/>
    </row>
    <row r="288">
      <c r="A288" s="35" t="n"/>
      <c r="B288" s="36" t="n"/>
      <c r="C288" s="37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7" t="n"/>
      <c r="AD288" s="37" t="n"/>
      <c r="AE288" s="37" t="n"/>
      <c r="AF288" s="35" t="n"/>
      <c r="AG288" s="35" t="n"/>
      <c r="AH288" s="37" t="n"/>
    </row>
    <row r="289">
      <c r="A289" s="35" t="n"/>
      <c r="B289" s="36" t="n"/>
      <c r="C289" s="37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7" t="n"/>
      <c r="AD289" s="37" t="n"/>
      <c r="AE289" s="37" t="n"/>
      <c r="AF289" s="35" t="n"/>
      <c r="AG289" s="35" t="n"/>
      <c r="AH289" s="37" t="n"/>
    </row>
    <row r="290">
      <c r="A290" s="35" t="n"/>
      <c r="B290" s="36" t="n"/>
      <c r="C290" s="37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7" t="n"/>
      <c r="AD290" s="37" t="n"/>
      <c r="AE290" s="37" t="n"/>
      <c r="AF290" s="35" t="n"/>
      <c r="AG290" s="35" t="n"/>
      <c r="AH290" s="37" t="n"/>
    </row>
    <row r="291">
      <c r="A291" s="35" t="n"/>
      <c r="B291" s="36" t="n"/>
      <c r="C291" s="37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7" t="n"/>
      <c r="AD291" s="37" t="n"/>
      <c r="AE291" s="37" t="n"/>
      <c r="AF291" s="35" t="n"/>
      <c r="AG291" s="35" t="n"/>
      <c r="AH291" s="37" t="n"/>
    </row>
    <row r="292">
      <c r="A292" s="35" t="n"/>
      <c r="B292" s="36" t="n"/>
      <c r="C292" s="37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7" t="n"/>
      <c r="AD292" s="37" t="n"/>
      <c r="AE292" s="37" t="n"/>
      <c r="AF292" s="35" t="n"/>
      <c r="AG292" s="35" t="n"/>
      <c r="AH292" s="37" t="n"/>
    </row>
    <row r="293">
      <c r="A293" s="35" t="n"/>
      <c r="B293" s="36" t="n"/>
      <c r="C293" s="37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7" t="n"/>
      <c r="AD293" s="37" t="n"/>
      <c r="AE293" s="37" t="n"/>
      <c r="AF293" s="35" t="n"/>
      <c r="AG293" s="35" t="n"/>
      <c r="AH293" s="37" t="n"/>
    </row>
    <row r="294">
      <c r="A294" s="35" t="n"/>
      <c r="B294" s="36" t="n"/>
      <c r="C294" s="37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7" t="n"/>
      <c r="AD294" s="37" t="n"/>
      <c r="AE294" s="37" t="n"/>
      <c r="AF294" s="35" t="n"/>
      <c r="AG294" s="35" t="n"/>
      <c r="AH294" s="37" t="n"/>
    </row>
    <row r="295">
      <c r="A295" s="35" t="n"/>
      <c r="B295" s="36" t="n"/>
      <c r="C295" s="37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7" t="n"/>
      <c r="AD295" s="37" t="n"/>
      <c r="AE295" s="37" t="n"/>
      <c r="AF295" s="35" t="n"/>
      <c r="AG295" s="35" t="n"/>
      <c r="AH295" s="37" t="n"/>
    </row>
    <row r="296">
      <c r="A296" s="35" t="n"/>
      <c r="B296" s="36" t="n"/>
      <c r="C296" s="37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7" t="n"/>
      <c r="AD296" s="37" t="n"/>
      <c r="AE296" s="37" t="n"/>
      <c r="AF296" s="35" t="n"/>
      <c r="AG296" s="35" t="n"/>
      <c r="AH296" s="37" t="n"/>
    </row>
    <row r="297">
      <c r="A297" s="35" t="n"/>
      <c r="B297" s="36" t="n"/>
      <c r="C297" s="37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7" t="n"/>
      <c r="AD297" s="37" t="n"/>
      <c r="AE297" s="37" t="n"/>
      <c r="AF297" s="35" t="n"/>
      <c r="AG297" s="35" t="n"/>
      <c r="AH297" s="37" t="n"/>
    </row>
    <row r="298">
      <c r="A298" s="35" t="n"/>
      <c r="B298" s="36" t="n"/>
      <c r="C298" s="37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7" t="n"/>
      <c r="AD298" s="37" t="n"/>
      <c r="AE298" s="37" t="n"/>
      <c r="AF298" s="35" t="n"/>
      <c r="AG298" s="35" t="n"/>
      <c r="AH298" s="37" t="n"/>
    </row>
    <row r="299">
      <c r="A299" s="35" t="n"/>
      <c r="B299" s="36" t="n"/>
      <c r="C299" s="37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7" t="n"/>
      <c r="AD299" s="37" t="n"/>
      <c r="AE299" s="37" t="n"/>
      <c r="AF299" s="35" t="n"/>
      <c r="AG299" s="35" t="n"/>
      <c r="AH299" s="37" t="n"/>
    </row>
    <row r="300">
      <c r="A300" s="35" t="n"/>
      <c r="B300" s="36" t="n"/>
      <c r="C300" s="37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7" t="n"/>
      <c r="AD300" s="37" t="n"/>
      <c r="AE300" s="37" t="n"/>
      <c r="AF300" s="35" t="n"/>
      <c r="AG300" s="35" t="n"/>
      <c r="AH300" s="37" t="n"/>
    </row>
    <row r="301">
      <c r="A301" s="35" t="n"/>
      <c r="B301" s="36" t="n"/>
      <c r="C301" s="37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7" t="n"/>
      <c r="AD301" s="37" t="n"/>
      <c r="AE301" s="37" t="n"/>
      <c r="AF301" s="35" t="n"/>
      <c r="AG301" s="35" t="n"/>
      <c r="AH301" s="37" t="n"/>
    </row>
    <row r="302">
      <c r="A302" s="35" t="n"/>
      <c r="B302" s="36" t="n"/>
      <c r="C302" s="37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7" t="n"/>
      <c r="AD302" s="37" t="n"/>
      <c r="AE302" s="37" t="n"/>
      <c r="AF302" s="35" t="n"/>
      <c r="AG302" s="35" t="n"/>
      <c r="AH302" s="37" t="n"/>
    </row>
    <row r="303">
      <c r="A303" s="35" t="n"/>
      <c r="B303" s="36" t="n"/>
      <c r="C303" s="37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7" t="n"/>
      <c r="AD303" s="37" t="n"/>
      <c r="AE303" s="37" t="n"/>
      <c r="AF303" s="35" t="n"/>
      <c r="AG303" s="35" t="n"/>
      <c r="AH303" s="37" t="n"/>
    </row>
    <row r="304">
      <c r="A304" s="35" t="n"/>
      <c r="B304" s="36" t="n"/>
      <c r="C304" s="37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7" t="n"/>
      <c r="AD304" s="37" t="n"/>
      <c r="AE304" s="37" t="n"/>
      <c r="AF304" s="35" t="n"/>
      <c r="AG304" s="35" t="n"/>
      <c r="AH304" s="37" t="n"/>
    </row>
    <row r="305">
      <c r="A305" s="35" t="n"/>
      <c r="B305" s="36" t="n"/>
      <c r="C305" s="37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7" t="n"/>
      <c r="AD305" s="37" t="n"/>
      <c r="AE305" s="37" t="n"/>
      <c r="AF305" s="35" t="n"/>
      <c r="AG305" s="35" t="n"/>
      <c r="AH305" s="37" t="n"/>
    </row>
    <row r="306">
      <c r="A306" s="35" t="n"/>
      <c r="B306" s="36" t="n"/>
      <c r="C306" s="37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7" t="n"/>
      <c r="AD306" s="37" t="n"/>
      <c r="AE306" s="37" t="n"/>
      <c r="AF306" s="35" t="n"/>
      <c r="AG306" s="35" t="n"/>
      <c r="AH306" s="37" t="n"/>
    </row>
    <row r="307">
      <c r="A307" s="35" t="n"/>
      <c r="B307" s="36" t="n"/>
      <c r="C307" s="37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7" t="n"/>
      <c r="AD307" s="37" t="n"/>
      <c r="AE307" s="37" t="n"/>
      <c r="AF307" s="35" t="n"/>
      <c r="AG307" s="35" t="n"/>
      <c r="AH307" s="37" t="n"/>
    </row>
    <row r="308">
      <c r="A308" s="35" t="n"/>
      <c r="B308" s="36" t="n"/>
      <c r="C308" s="37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7" t="n"/>
      <c r="AD308" s="37" t="n"/>
      <c r="AE308" s="37" t="n"/>
      <c r="AF308" s="35" t="n"/>
      <c r="AG308" s="35" t="n"/>
      <c r="AH308" s="37" t="n"/>
    </row>
    <row r="309">
      <c r="A309" s="35" t="n"/>
      <c r="B309" s="36" t="n"/>
      <c r="C309" s="37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7" t="n"/>
      <c r="AD309" s="37" t="n"/>
      <c r="AE309" s="37" t="n"/>
      <c r="AF309" s="35" t="n"/>
      <c r="AG309" s="35" t="n"/>
      <c r="AH309" s="37" t="n"/>
    </row>
    <row r="310">
      <c r="A310" s="35" t="n"/>
      <c r="B310" s="36" t="n"/>
      <c r="C310" s="37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7" t="n"/>
      <c r="AD310" s="37" t="n"/>
      <c r="AE310" s="37" t="n"/>
      <c r="AF310" s="35" t="n"/>
      <c r="AG310" s="35" t="n"/>
      <c r="AH310" s="37" t="n"/>
    </row>
    <row r="311">
      <c r="A311" s="35" t="n"/>
      <c r="B311" s="36" t="n"/>
      <c r="C311" s="37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7" t="n"/>
      <c r="AD311" s="37" t="n"/>
      <c r="AE311" s="37" t="n"/>
      <c r="AF311" s="35" t="n"/>
      <c r="AG311" s="35" t="n"/>
      <c r="AH311" s="37" t="n"/>
    </row>
    <row r="312">
      <c r="A312" s="35" t="n"/>
      <c r="B312" s="36" t="n"/>
      <c r="C312" s="37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7" t="n"/>
      <c r="AD312" s="37" t="n"/>
      <c r="AE312" s="37" t="n"/>
      <c r="AF312" s="35" t="n"/>
      <c r="AG312" s="35" t="n"/>
      <c r="AH312" s="37" t="n"/>
    </row>
    <row r="313">
      <c r="A313" s="35" t="n"/>
      <c r="B313" s="36" t="n"/>
      <c r="C313" s="37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7" t="n"/>
      <c r="AD313" s="37" t="n"/>
      <c r="AE313" s="37" t="n"/>
      <c r="AF313" s="35" t="n"/>
      <c r="AG313" s="35" t="n"/>
      <c r="AH313" s="37" t="n"/>
    </row>
    <row r="314">
      <c r="A314" s="35" t="n"/>
      <c r="B314" s="36" t="n"/>
      <c r="C314" s="37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7" t="n"/>
      <c r="AD314" s="37" t="n"/>
      <c r="AE314" s="37" t="n"/>
      <c r="AF314" s="35" t="n"/>
      <c r="AG314" s="35" t="n"/>
      <c r="AH314" s="37" t="n"/>
    </row>
    <row r="315">
      <c r="A315" s="35" t="n"/>
      <c r="B315" s="36" t="n"/>
      <c r="C315" s="37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7" t="n"/>
      <c r="AD315" s="37" t="n"/>
      <c r="AE315" s="37" t="n"/>
      <c r="AF315" s="35" t="n"/>
      <c r="AG315" s="35" t="n"/>
      <c r="AH315" s="37" t="n"/>
    </row>
    <row r="316">
      <c r="A316" s="35" t="n"/>
      <c r="B316" s="36" t="n"/>
      <c r="C316" s="37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7" t="n"/>
      <c r="AD316" s="37" t="n"/>
      <c r="AE316" s="37" t="n"/>
      <c r="AF316" s="35" t="n"/>
      <c r="AG316" s="35" t="n"/>
      <c r="AH316" s="37" t="n"/>
    </row>
    <row r="317">
      <c r="A317" s="35" t="n"/>
      <c r="B317" s="36" t="n"/>
      <c r="C317" s="37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7" t="n"/>
      <c r="AD317" s="37" t="n"/>
      <c r="AE317" s="37" t="n"/>
      <c r="AF317" s="35" t="n"/>
      <c r="AG317" s="35" t="n"/>
      <c r="AH317" s="37" t="n"/>
    </row>
    <row r="318">
      <c r="A318" s="35" t="n"/>
      <c r="B318" s="36" t="n"/>
      <c r="C318" s="37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7" t="n"/>
      <c r="AD318" s="37" t="n"/>
      <c r="AE318" s="37" t="n"/>
      <c r="AF318" s="35" t="n"/>
      <c r="AG318" s="35" t="n"/>
      <c r="AH318" s="37" t="n"/>
    </row>
    <row r="319">
      <c r="A319" s="35" t="n"/>
      <c r="B319" s="36" t="n"/>
      <c r="C319" s="37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7" t="n"/>
      <c r="AD319" s="37" t="n"/>
      <c r="AE319" s="37" t="n"/>
      <c r="AF319" s="35" t="n"/>
      <c r="AG319" s="35" t="n"/>
      <c r="AH319" s="37" t="n"/>
    </row>
    <row r="320">
      <c r="A320" s="35" t="n"/>
      <c r="B320" s="36" t="n"/>
      <c r="C320" s="37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7" t="n"/>
      <c r="AD320" s="37" t="n"/>
      <c r="AE320" s="37" t="n"/>
      <c r="AF320" s="35" t="n"/>
      <c r="AG320" s="35" t="n"/>
      <c r="AH320" s="37" t="n"/>
    </row>
    <row r="321">
      <c r="A321" s="35" t="n"/>
      <c r="B321" s="36" t="n"/>
      <c r="C321" s="37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7" t="n"/>
      <c r="AD321" s="37" t="n"/>
      <c r="AE321" s="37" t="n"/>
      <c r="AF321" s="35" t="n"/>
      <c r="AG321" s="35" t="n"/>
      <c r="AH321" s="37" t="n"/>
    </row>
    <row r="322">
      <c r="A322" s="35" t="n"/>
      <c r="B322" s="36" t="n"/>
      <c r="C322" s="37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7" t="n"/>
      <c r="AD322" s="37" t="n"/>
      <c r="AE322" s="37" t="n"/>
      <c r="AF322" s="35" t="n"/>
      <c r="AG322" s="35" t="n"/>
      <c r="AH322" s="37" t="n"/>
    </row>
    <row r="323">
      <c r="A323" s="35" t="n"/>
      <c r="B323" s="36" t="n"/>
      <c r="C323" s="37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7" t="n"/>
      <c r="AD323" s="37" t="n"/>
      <c r="AE323" s="37" t="n"/>
      <c r="AF323" s="35" t="n"/>
      <c r="AG323" s="35" t="n"/>
      <c r="AH323" s="37" t="n"/>
    </row>
    <row r="324">
      <c r="A324" s="35" t="n"/>
      <c r="B324" s="36" t="n"/>
      <c r="C324" s="37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7" t="n"/>
      <c r="AD324" s="37" t="n"/>
      <c r="AE324" s="37" t="n"/>
      <c r="AF324" s="35" t="n"/>
      <c r="AG324" s="35" t="n"/>
      <c r="AH324" s="37" t="n"/>
    </row>
    <row r="325">
      <c r="A325" s="35" t="n"/>
      <c r="B325" s="36" t="n"/>
      <c r="C325" s="37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7" t="n"/>
      <c r="AD325" s="37" t="n"/>
      <c r="AE325" s="37" t="n"/>
      <c r="AF325" s="35" t="n"/>
      <c r="AG325" s="35" t="n"/>
      <c r="AH325" s="37" t="n"/>
    </row>
    <row r="326">
      <c r="A326" s="35" t="n"/>
      <c r="B326" s="36" t="n"/>
      <c r="C326" s="37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7" t="n"/>
      <c r="AD326" s="37" t="n"/>
      <c r="AE326" s="37" t="n"/>
      <c r="AF326" s="35" t="n"/>
      <c r="AG326" s="35" t="n"/>
      <c r="AH326" s="37" t="n"/>
    </row>
    <row r="327">
      <c r="A327" s="35" t="n"/>
      <c r="B327" s="36" t="n"/>
      <c r="C327" s="37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7" t="n"/>
      <c r="AD327" s="37" t="n"/>
      <c r="AE327" s="37" t="n"/>
      <c r="AF327" s="35" t="n"/>
      <c r="AG327" s="35" t="n"/>
      <c r="AH327" s="37" t="n"/>
    </row>
    <row r="328">
      <c r="A328" s="35" t="n"/>
      <c r="B328" s="36" t="n"/>
      <c r="C328" s="37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7" t="n"/>
      <c r="AD328" s="37" t="n"/>
      <c r="AE328" s="37" t="n"/>
      <c r="AF328" s="35" t="n"/>
      <c r="AG328" s="35" t="n"/>
      <c r="AH328" s="37" t="n"/>
    </row>
    <row r="329">
      <c r="A329" s="35" t="n"/>
      <c r="B329" s="36" t="n"/>
      <c r="C329" s="37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7" t="n"/>
      <c r="AD329" s="37" t="n"/>
      <c r="AE329" s="37" t="n"/>
      <c r="AF329" s="35" t="n"/>
      <c r="AG329" s="35" t="n"/>
      <c r="AH329" s="37" t="n"/>
    </row>
    <row r="330">
      <c r="A330" s="35" t="n"/>
      <c r="B330" s="36" t="n"/>
      <c r="C330" s="37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7" t="n"/>
      <c r="AD330" s="37" t="n"/>
      <c r="AE330" s="37" t="n"/>
      <c r="AF330" s="35" t="n"/>
      <c r="AG330" s="35" t="n"/>
      <c r="AH330" s="37" t="n"/>
    </row>
    <row r="331">
      <c r="A331" s="35" t="n"/>
      <c r="B331" s="36" t="n"/>
      <c r="C331" s="37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7" t="n"/>
      <c r="AD331" s="37" t="n"/>
      <c r="AE331" s="37" t="n"/>
      <c r="AF331" s="35" t="n"/>
      <c r="AG331" s="35" t="n"/>
      <c r="AH331" s="37" t="n"/>
    </row>
    <row r="332">
      <c r="A332" s="35" t="n"/>
      <c r="B332" s="36" t="n"/>
      <c r="C332" s="37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7" t="n"/>
      <c r="AD332" s="37" t="n"/>
      <c r="AE332" s="37" t="n"/>
      <c r="AF332" s="35" t="n"/>
      <c r="AG332" s="35" t="n"/>
      <c r="AH332" s="37" t="n"/>
    </row>
    <row r="333">
      <c r="A333" s="35" t="n"/>
      <c r="B333" s="36" t="n"/>
      <c r="C333" s="37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7" t="n"/>
      <c r="AD333" s="37" t="n"/>
      <c r="AE333" s="37" t="n"/>
      <c r="AF333" s="35" t="n"/>
      <c r="AG333" s="35" t="n"/>
      <c r="AH333" s="37" t="n"/>
    </row>
    <row r="334">
      <c r="A334" s="35" t="n"/>
      <c r="B334" s="36" t="n"/>
      <c r="C334" s="37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7" t="n"/>
      <c r="AD334" s="37" t="n"/>
      <c r="AE334" s="37" t="n"/>
      <c r="AF334" s="35" t="n"/>
      <c r="AG334" s="35" t="n"/>
      <c r="AH334" s="37" t="n"/>
    </row>
    <row r="335">
      <c r="A335" s="35" t="n"/>
      <c r="B335" s="36" t="n"/>
      <c r="C335" s="37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7" t="n"/>
      <c r="AD335" s="37" t="n"/>
      <c r="AE335" s="37" t="n"/>
      <c r="AF335" s="35" t="n"/>
      <c r="AG335" s="35" t="n"/>
      <c r="AH335" s="37" t="n"/>
    </row>
    <row r="336">
      <c r="A336" s="35" t="n"/>
      <c r="B336" s="36" t="n"/>
      <c r="C336" s="37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7" t="n"/>
      <c r="AD336" s="37" t="n"/>
      <c r="AE336" s="37" t="n"/>
      <c r="AF336" s="35" t="n"/>
      <c r="AG336" s="35" t="n"/>
      <c r="AH336" s="37" t="n"/>
    </row>
    <row r="337">
      <c r="A337" s="35" t="n"/>
      <c r="B337" s="36" t="n"/>
      <c r="C337" s="37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7" t="n"/>
      <c r="AD337" s="37" t="n"/>
      <c r="AE337" s="37" t="n"/>
      <c r="AF337" s="35" t="n"/>
      <c r="AG337" s="35" t="n"/>
      <c r="AH337" s="37" t="n"/>
    </row>
    <row r="338">
      <c r="A338" s="35" t="n"/>
      <c r="B338" s="36" t="n"/>
      <c r="C338" s="37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7" t="n"/>
      <c r="AD338" s="37" t="n"/>
      <c r="AE338" s="37" t="n"/>
      <c r="AF338" s="35" t="n"/>
      <c r="AG338" s="35" t="n"/>
      <c r="AH338" s="37" t="n"/>
    </row>
    <row r="339">
      <c r="A339" s="35" t="n"/>
      <c r="B339" s="36" t="n"/>
      <c r="C339" s="37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7" t="n"/>
      <c r="AD339" s="37" t="n"/>
      <c r="AE339" s="37" t="n"/>
      <c r="AF339" s="35" t="n"/>
      <c r="AG339" s="35" t="n"/>
      <c r="AH339" s="37" t="n"/>
    </row>
    <row r="340">
      <c r="A340" s="35" t="n"/>
      <c r="B340" s="36" t="n"/>
      <c r="C340" s="37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7" t="n"/>
      <c r="AD340" s="37" t="n"/>
      <c r="AE340" s="37" t="n"/>
      <c r="AF340" s="35" t="n"/>
      <c r="AG340" s="35" t="n"/>
      <c r="AH340" s="37" t="n"/>
    </row>
    <row r="341">
      <c r="A341" s="35" t="n"/>
      <c r="B341" s="36" t="n"/>
      <c r="C341" s="37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7" t="n"/>
      <c r="AD341" s="37" t="n"/>
      <c r="AE341" s="37" t="n"/>
      <c r="AF341" s="35" t="n"/>
      <c r="AG341" s="35" t="n"/>
      <c r="AH341" s="37" t="n"/>
    </row>
    <row r="342">
      <c r="A342" s="35" t="n"/>
      <c r="B342" s="36" t="n"/>
      <c r="C342" s="37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7" t="n"/>
      <c r="AD342" s="37" t="n"/>
      <c r="AE342" s="37" t="n"/>
      <c r="AF342" s="35" t="n"/>
      <c r="AG342" s="35" t="n"/>
      <c r="AH342" s="37" t="n"/>
    </row>
    <row r="343">
      <c r="A343" s="35" t="n"/>
      <c r="B343" s="36" t="n"/>
      <c r="C343" s="37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7" t="n"/>
      <c r="AD343" s="37" t="n"/>
      <c r="AE343" s="37" t="n"/>
      <c r="AF343" s="35" t="n"/>
      <c r="AG343" s="35" t="n"/>
      <c r="AH343" s="37" t="n"/>
    </row>
    <row r="344">
      <c r="A344" s="35" t="n"/>
      <c r="B344" s="36" t="n"/>
      <c r="C344" s="37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7" t="n"/>
      <c r="AD344" s="37" t="n"/>
      <c r="AE344" s="37" t="n"/>
      <c r="AF344" s="35" t="n"/>
      <c r="AG344" s="35" t="n"/>
      <c r="AH344" s="37" t="n"/>
    </row>
    <row r="345">
      <c r="A345" s="35" t="n"/>
      <c r="B345" s="36" t="n"/>
      <c r="C345" s="37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7" t="n"/>
      <c r="AD345" s="37" t="n"/>
      <c r="AE345" s="37" t="n"/>
      <c r="AF345" s="35" t="n"/>
      <c r="AG345" s="35" t="n"/>
      <c r="AH345" s="37" t="n"/>
    </row>
    <row r="346">
      <c r="A346" s="35" t="n"/>
      <c r="B346" s="36" t="n"/>
      <c r="C346" s="37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7" t="n"/>
      <c r="AD346" s="37" t="n"/>
      <c r="AE346" s="37" t="n"/>
      <c r="AF346" s="35" t="n"/>
      <c r="AG346" s="35" t="n"/>
      <c r="AH346" s="37" t="n"/>
    </row>
    <row r="347">
      <c r="A347" s="35" t="n"/>
      <c r="B347" s="36" t="n"/>
      <c r="C347" s="37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7" t="n"/>
      <c r="AD347" s="37" t="n"/>
      <c r="AE347" s="37" t="n"/>
      <c r="AF347" s="35" t="n"/>
      <c r="AG347" s="35" t="n"/>
      <c r="AH347" s="37" t="n"/>
    </row>
    <row r="348">
      <c r="A348" s="35" t="n"/>
      <c r="B348" s="36" t="n"/>
      <c r="C348" s="37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7" t="n"/>
      <c r="AD348" s="37" t="n"/>
      <c r="AE348" s="37" t="n"/>
      <c r="AF348" s="35" t="n"/>
      <c r="AG348" s="35" t="n"/>
      <c r="AH348" s="37" t="n"/>
    </row>
    <row r="349">
      <c r="A349" s="35" t="n"/>
      <c r="B349" s="36" t="n"/>
      <c r="C349" s="37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7" t="n"/>
      <c r="AD349" s="37" t="n"/>
      <c r="AE349" s="37" t="n"/>
      <c r="AF349" s="35" t="n"/>
      <c r="AG349" s="35" t="n"/>
      <c r="AH349" s="37" t="n"/>
    </row>
    <row r="350">
      <c r="A350" s="35" t="n"/>
      <c r="B350" s="36" t="n"/>
      <c r="C350" s="37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7" t="n"/>
      <c r="AD350" s="37" t="n"/>
      <c r="AE350" s="37" t="n"/>
      <c r="AF350" s="35" t="n"/>
      <c r="AG350" s="35" t="n"/>
      <c r="AH350" s="37" t="n"/>
    </row>
    <row r="351">
      <c r="A351" s="35" t="n"/>
      <c r="B351" s="36" t="n"/>
      <c r="C351" s="37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7" t="n"/>
      <c r="AD351" s="37" t="n"/>
      <c r="AE351" s="37" t="n"/>
      <c r="AF351" s="35" t="n"/>
      <c r="AG351" s="35" t="n"/>
      <c r="AH351" s="37" t="n"/>
    </row>
    <row r="352">
      <c r="A352" s="35" t="n"/>
      <c r="B352" s="36" t="n"/>
      <c r="C352" s="37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7" t="n"/>
      <c r="AD352" s="37" t="n"/>
      <c r="AE352" s="37" t="n"/>
      <c r="AF352" s="35" t="n"/>
      <c r="AG352" s="35" t="n"/>
      <c r="AH352" s="37" t="n"/>
    </row>
    <row r="353">
      <c r="A353" s="35" t="n"/>
      <c r="B353" s="36" t="n"/>
      <c r="C353" s="37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7" t="n"/>
      <c r="AD353" s="37" t="n"/>
      <c r="AE353" s="37" t="n"/>
      <c r="AF353" s="35" t="n"/>
      <c r="AG353" s="35" t="n"/>
      <c r="AH353" s="37" t="n"/>
    </row>
    <row r="354">
      <c r="A354" s="35" t="n"/>
      <c r="B354" s="36" t="n"/>
      <c r="C354" s="37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7" t="n"/>
      <c r="AD354" s="37" t="n"/>
      <c r="AE354" s="37" t="n"/>
      <c r="AF354" s="35" t="n"/>
      <c r="AG354" s="35" t="n"/>
      <c r="AH354" s="37" t="n"/>
    </row>
    <row r="355">
      <c r="A355" s="35" t="n"/>
      <c r="B355" s="36" t="n"/>
      <c r="C355" s="37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7" t="n"/>
      <c r="AD355" s="37" t="n"/>
      <c r="AE355" s="37" t="n"/>
      <c r="AF355" s="35" t="n"/>
      <c r="AG355" s="35" t="n"/>
      <c r="AH355" s="37" t="n"/>
    </row>
    <row r="356">
      <c r="A356" s="35" t="n"/>
      <c r="B356" s="36" t="n"/>
      <c r="C356" s="37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7" t="n"/>
      <c r="AD356" s="37" t="n"/>
      <c r="AE356" s="37" t="n"/>
      <c r="AF356" s="35" t="n"/>
      <c r="AG356" s="35" t="n"/>
      <c r="AH356" s="37" t="n"/>
    </row>
    <row r="357">
      <c r="A357" s="35" t="n"/>
      <c r="B357" s="36" t="n"/>
      <c r="C357" s="37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7" t="n"/>
      <c r="AD357" s="37" t="n"/>
      <c r="AE357" s="37" t="n"/>
      <c r="AF357" s="35" t="n"/>
      <c r="AG357" s="35" t="n"/>
      <c r="AH357" s="37" t="n"/>
    </row>
    <row r="358">
      <c r="A358" s="35" t="n"/>
      <c r="B358" s="36" t="n"/>
      <c r="C358" s="37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7" t="n"/>
      <c r="AD358" s="37" t="n"/>
      <c r="AE358" s="37" t="n"/>
      <c r="AF358" s="35" t="n"/>
      <c r="AG358" s="35" t="n"/>
      <c r="AH358" s="37" t="n"/>
    </row>
    <row r="359">
      <c r="A359" s="35" t="n"/>
      <c r="B359" s="36" t="n"/>
      <c r="C359" s="37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7" t="n"/>
      <c r="AD359" s="37" t="n"/>
      <c r="AE359" s="37" t="n"/>
      <c r="AF359" s="35" t="n"/>
      <c r="AG359" s="35" t="n"/>
      <c r="AH359" s="37" t="n"/>
    </row>
    <row r="360">
      <c r="A360" s="35" t="n"/>
      <c r="B360" s="36" t="n"/>
      <c r="C360" s="37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7" t="n"/>
      <c r="AD360" s="37" t="n"/>
      <c r="AE360" s="37" t="n"/>
      <c r="AF360" s="35" t="n"/>
      <c r="AG360" s="35" t="n"/>
      <c r="AH360" s="37" t="n"/>
    </row>
    <row r="361">
      <c r="A361" s="35" t="n"/>
      <c r="B361" s="36" t="n"/>
      <c r="C361" s="37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7" t="n"/>
      <c r="AD361" s="37" t="n"/>
      <c r="AE361" s="37" t="n"/>
      <c r="AF361" s="35" t="n"/>
      <c r="AG361" s="35" t="n"/>
      <c r="AH361" s="37" t="n"/>
    </row>
    <row r="362">
      <c r="A362" s="35" t="n"/>
      <c r="B362" s="36" t="n"/>
      <c r="C362" s="37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7" t="n"/>
      <c r="AD362" s="37" t="n"/>
      <c r="AE362" s="37" t="n"/>
      <c r="AF362" s="35" t="n"/>
      <c r="AG362" s="35" t="n"/>
      <c r="AH362" s="37" t="n"/>
    </row>
    <row r="363">
      <c r="A363" s="35" t="n"/>
      <c r="B363" s="36" t="n"/>
      <c r="C363" s="37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7" t="n"/>
      <c r="AD363" s="37" t="n"/>
      <c r="AE363" s="37" t="n"/>
      <c r="AF363" s="35" t="n"/>
      <c r="AG363" s="35" t="n"/>
      <c r="AH363" s="37" t="n"/>
    </row>
    <row r="364">
      <c r="A364" s="35" t="n"/>
      <c r="B364" s="36" t="n"/>
      <c r="C364" s="37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7" t="n"/>
      <c r="AD364" s="37" t="n"/>
      <c r="AE364" s="37" t="n"/>
      <c r="AF364" s="35" t="n"/>
      <c r="AG364" s="35" t="n"/>
      <c r="AH364" s="37" t="n"/>
    </row>
    <row r="365">
      <c r="A365" s="35" t="n"/>
      <c r="B365" s="36" t="n"/>
      <c r="C365" s="37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7" t="n"/>
      <c r="AD365" s="37" t="n"/>
      <c r="AE365" s="37" t="n"/>
      <c r="AF365" s="35" t="n"/>
      <c r="AG365" s="35" t="n"/>
      <c r="AH365" s="37" t="n"/>
    </row>
    <row r="366">
      <c r="A366" s="35" t="n"/>
      <c r="B366" s="36" t="n"/>
      <c r="C366" s="37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7" t="n"/>
      <c r="AD366" s="37" t="n"/>
      <c r="AE366" s="37" t="n"/>
      <c r="AF366" s="35" t="n"/>
      <c r="AG366" s="35" t="n"/>
      <c r="AH366" s="37" t="n"/>
    </row>
    <row r="367">
      <c r="A367" s="35" t="n"/>
      <c r="B367" s="36" t="n"/>
      <c r="C367" s="37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7" t="n"/>
      <c r="AD367" s="37" t="n"/>
      <c r="AE367" s="37" t="n"/>
      <c r="AF367" s="35" t="n"/>
      <c r="AG367" s="35" t="n"/>
      <c r="AH367" s="37" t="n"/>
    </row>
    <row r="368">
      <c r="A368" s="35" t="n"/>
      <c r="B368" s="36" t="n"/>
      <c r="C368" s="37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7" t="n"/>
      <c r="AD368" s="37" t="n"/>
      <c r="AE368" s="37" t="n"/>
      <c r="AF368" s="35" t="n"/>
      <c r="AG368" s="35" t="n"/>
      <c r="AH368" s="37" t="n"/>
    </row>
    <row r="369">
      <c r="A369" s="35" t="n"/>
      <c r="B369" s="36" t="n"/>
      <c r="C369" s="37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7" t="n"/>
      <c r="AD369" s="37" t="n"/>
      <c r="AE369" s="37" t="n"/>
      <c r="AF369" s="35" t="n"/>
      <c r="AG369" s="35" t="n"/>
      <c r="AH369" s="37" t="n"/>
    </row>
    <row r="370">
      <c r="A370" s="35" t="n"/>
      <c r="B370" s="36" t="n"/>
      <c r="C370" s="37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7" t="n"/>
      <c r="AD370" s="37" t="n"/>
      <c r="AE370" s="37" t="n"/>
      <c r="AF370" s="35" t="n"/>
      <c r="AG370" s="35" t="n"/>
      <c r="AH370" s="37" t="n"/>
    </row>
    <row r="371">
      <c r="A371" s="35" t="n"/>
      <c r="B371" s="36" t="n"/>
      <c r="C371" s="37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7" t="n"/>
      <c r="AD371" s="37" t="n"/>
      <c r="AE371" s="37" t="n"/>
      <c r="AF371" s="35" t="n"/>
      <c r="AG371" s="35" t="n"/>
      <c r="AH371" s="37" t="n"/>
    </row>
    <row r="372">
      <c r="A372" s="35" t="n"/>
      <c r="B372" s="36" t="n"/>
      <c r="C372" s="37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7" t="n"/>
      <c r="AD372" s="37" t="n"/>
      <c r="AE372" s="37" t="n"/>
      <c r="AF372" s="35" t="n"/>
      <c r="AG372" s="35" t="n"/>
      <c r="AH372" s="37" t="n"/>
    </row>
    <row r="373">
      <c r="A373" s="35" t="n"/>
      <c r="B373" s="36" t="n"/>
      <c r="C373" s="37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7" t="n"/>
      <c r="AD373" s="37" t="n"/>
      <c r="AE373" s="37" t="n"/>
      <c r="AF373" s="35" t="n"/>
      <c r="AG373" s="35" t="n"/>
      <c r="AH373" s="37" t="n"/>
    </row>
    <row r="374">
      <c r="A374" s="35" t="n"/>
      <c r="B374" s="36" t="n"/>
      <c r="C374" s="37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7" t="n"/>
      <c r="AD374" s="37" t="n"/>
      <c r="AE374" s="37" t="n"/>
      <c r="AF374" s="35" t="n"/>
      <c r="AG374" s="35" t="n"/>
      <c r="AH374" s="37" t="n"/>
    </row>
    <row r="375">
      <c r="A375" s="35" t="n"/>
      <c r="B375" s="36" t="n"/>
      <c r="C375" s="37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7" t="n"/>
      <c r="AD375" s="37" t="n"/>
      <c r="AE375" s="37" t="n"/>
      <c r="AF375" s="35" t="n"/>
      <c r="AG375" s="35" t="n"/>
      <c r="AH375" s="37" t="n"/>
    </row>
    <row r="376">
      <c r="A376" s="35" t="n"/>
      <c r="B376" s="36" t="n"/>
      <c r="C376" s="37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7" t="n"/>
      <c r="AD376" s="37" t="n"/>
      <c r="AE376" s="37" t="n"/>
      <c r="AF376" s="35" t="n"/>
      <c r="AG376" s="35" t="n"/>
      <c r="AH376" s="37" t="n"/>
    </row>
    <row r="377">
      <c r="A377" s="35" t="n"/>
      <c r="B377" s="36" t="n"/>
      <c r="C377" s="37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7" t="n"/>
      <c r="AD377" s="37" t="n"/>
      <c r="AE377" s="37" t="n"/>
      <c r="AF377" s="35" t="n"/>
      <c r="AG377" s="35" t="n"/>
      <c r="AH377" s="37" t="n"/>
    </row>
    <row r="378">
      <c r="A378" s="35" t="n"/>
      <c r="B378" s="36" t="n"/>
      <c r="C378" s="37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7" t="n"/>
      <c r="AD378" s="37" t="n"/>
      <c r="AE378" s="37" t="n"/>
      <c r="AF378" s="35" t="n"/>
      <c r="AG378" s="35" t="n"/>
      <c r="AH378" s="37" t="n"/>
    </row>
    <row r="379">
      <c r="A379" s="35" t="n"/>
      <c r="B379" s="36" t="n"/>
      <c r="C379" s="37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7" t="n"/>
      <c r="AD379" s="37" t="n"/>
      <c r="AE379" s="37" t="n"/>
      <c r="AF379" s="35" t="n"/>
      <c r="AG379" s="35" t="n"/>
      <c r="AH379" s="37" t="n"/>
    </row>
    <row r="380">
      <c r="A380" s="35" t="n"/>
      <c r="B380" s="36" t="n"/>
      <c r="C380" s="37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7" t="n"/>
      <c r="AD380" s="37" t="n"/>
      <c r="AE380" s="37" t="n"/>
      <c r="AF380" s="35" t="n"/>
      <c r="AG380" s="35" t="n"/>
      <c r="AH380" s="37" t="n"/>
    </row>
    <row r="381">
      <c r="A381" s="35" t="n"/>
      <c r="B381" s="36" t="n"/>
      <c r="C381" s="37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7" t="n"/>
      <c r="AD381" s="37" t="n"/>
      <c r="AE381" s="37" t="n"/>
      <c r="AF381" s="35" t="n"/>
      <c r="AG381" s="35" t="n"/>
      <c r="AH381" s="37" t="n"/>
    </row>
    <row r="382">
      <c r="A382" s="35" t="n"/>
      <c r="B382" s="36" t="n"/>
      <c r="C382" s="37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7" t="n"/>
      <c r="AD382" s="37" t="n"/>
      <c r="AE382" s="37" t="n"/>
      <c r="AF382" s="35" t="n"/>
      <c r="AG382" s="35" t="n"/>
      <c r="AH382" s="37" t="n"/>
    </row>
    <row r="383">
      <c r="A383" s="35" t="n"/>
      <c r="B383" s="36" t="n"/>
      <c r="C383" s="37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7" t="n"/>
      <c r="AD383" s="37" t="n"/>
      <c r="AE383" s="37" t="n"/>
      <c r="AF383" s="35" t="n"/>
      <c r="AG383" s="35" t="n"/>
      <c r="AH383" s="37" t="n"/>
    </row>
    <row r="384">
      <c r="A384" s="35" t="n"/>
      <c r="B384" s="36" t="n"/>
      <c r="C384" s="37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7" t="n"/>
      <c r="AD384" s="37" t="n"/>
      <c r="AE384" s="37" t="n"/>
      <c r="AF384" s="35" t="n"/>
      <c r="AG384" s="35" t="n"/>
      <c r="AH384" s="37" t="n"/>
    </row>
    <row r="385">
      <c r="A385" s="35" t="n"/>
      <c r="B385" s="36" t="n"/>
      <c r="C385" s="37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7" t="n"/>
      <c r="AD385" s="37" t="n"/>
      <c r="AE385" s="37" t="n"/>
      <c r="AF385" s="35" t="n"/>
      <c r="AG385" s="35" t="n"/>
      <c r="AH385" s="37" t="n"/>
    </row>
    <row r="386">
      <c r="A386" s="35" t="n"/>
      <c r="B386" s="36" t="n"/>
      <c r="C386" s="37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7" t="n"/>
      <c r="AD386" s="37" t="n"/>
      <c r="AE386" s="37" t="n"/>
      <c r="AF386" s="35" t="n"/>
      <c r="AG386" s="35" t="n"/>
      <c r="AH386" s="37" t="n"/>
    </row>
    <row r="387">
      <c r="A387" s="35" t="n"/>
      <c r="B387" s="36" t="n"/>
      <c r="C387" s="37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7" t="n"/>
      <c r="AD387" s="37" t="n"/>
      <c r="AE387" s="37" t="n"/>
      <c r="AF387" s="35" t="n"/>
      <c r="AG387" s="35" t="n"/>
      <c r="AH387" s="37" t="n"/>
    </row>
    <row r="388">
      <c r="A388" s="35" t="n"/>
      <c r="B388" s="36" t="n"/>
      <c r="C388" s="37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7" t="n"/>
      <c r="AD388" s="37" t="n"/>
      <c r="AE388" s="37" t="n"/>
      <c r="AF388" s="35" t="n"/>
      <c r="AG388" s="35" t="n"/>
      <c r="AH388" s="37" t="n"/>
    </row>
    <row r="389">
      <c r="A389" s="35" t="n"/>
      <c r="B389" s="36" t="n"/>
      <c r="C389" s="37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7" t="n"/>
      <c r="AD389" s="37" t="n"/>
      <c r="AE389" s="37" t="n"/>
      <c r="AF389" s="35" t="n"/>
      <c r="AG389" s="35" t="n"/>
      <c r="AH389" s="37" t="n"/>
    </row>
    <row r="390">
      <c r="A390" s="35" t="n"/>
      <c r="B390" s="36" t="n"/>
      <c r="C390" s="37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7" t="n"/>
      <c r="AD390" s="37" t="n"/>
      <c r="AE390" s="37" t="n"/>
      <c r="AF390" s="35" t="n"/>
      <c r="AG390" s="35" t="n"/>
      <c r="AH390" s="37" t="n"/>
    </row>
    <row r="391">
      <c r="A391" s="35" t="n"/>
      <c r="B391" s="36" t="n"/>
      <c r="C391" s="37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7" t="n"/>
      <c r="AD391" s="37" t="n"/>
      <c r="AE391" s="37" t="n"/>
      <c r="AF391" s="35" t="n"/>
      <c r="AG391" s="35" t="n"/>
      <c r="AH391" s="37" t="n"/>
    </row>
    <row r="392">
      <c r="A392" s="35" t="n"/>
      <c r="B392" s="36" t="n"/>
      <c r="C392" s="37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7" t="n"/>
      <c r="AD392" s="37" t="n"/>
      <c r="AE392" s="37" t="n"/>
      <c r="AF392" s="35" t="n"/>
      <c r="AG392" s="35" t="n"/>
      <c r="AH392" s="37" t="n"/>
    </row>
    <row r="393">
      <c r="A393" s="35" t="n"/>
      <c r="B393" s="36" t="n"/>
      <c r="C393" s="37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7" t="n"/>
      <c r="AD393" s="37" t="n"/>
      <c r="AE393" s="37" t="n"/>
      <c r="AF393" s="35" t="n"/>
      <c r="AG393" s="35" t="n"/>
      <c r="AH393" s="37" t="n"/>
    </row>
    <row r="394">
      <c r="A394" s="35" t="n"/>
      <c r="B394" s="36" t="n"/>
      <c r="C394" s="37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7" t="n"/>
      <c r="AD394" s="37" t="n"/>
      <c r="AE394" s="37" t="n"/>
      <c r="AF394" s="35" t="n"/>
      <c r="AG394" s="35" t="n"/>
      <c r="AH394" s="37" t="n"/>
    </row>
    <row r="395">
      <c r="A395" s="35" t="n"/>
      <c r="B395" s="36" t="n"/>
      <c r="C395" s="37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7" t="n"/>
      <c r="AD395" s="37" t="n"/>
      <c r="AE395" s="37" t="n"/>
      <c r="AF395" s="35" t="n"/>
      <c r="AG395" s="35" t="n"/>
      <c r="AH395" s="37" t="n"/>
    </row>
    <row r="396">
      <c r="A396" s="35" t="n"/>
      <c r="B396" s="36" t="n"/>
      <c r="C396" s="37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7" t="n"/>
      <c r="AD396" s="37" t="n"/>
      <c r="AE396" s="37" t="n"/>
      <c r="AF396" s="35" t="n"/>
      <c r="AG396" s="35" t="n"/>
      <c r="AH396" s="37" t="n"/>
    </row>
    <row r="397">
      <c r="A397" s="35" t="n"/>
      <c r="B397" s="36" t="n"/>
      <c r="C397" s="37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7" t="n"/>
      <c r="AD397" s="37" t="n"/>
      <c r="AE397" s="37" t="n"/>
      <c r="AF397" s="35" t="n"/>
      <c r="AG397" s="35" t="n"/>
      <c r="AH397" s="37" t="n"/>
    </row>
    <row r="398">
      <c r="A398" s="35" t="n"/>
      <c r="B398" s="36" t="n"/>
      <c r="C398" s="37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7" t="n"/>
      <c r="AD398" s="37" t="n"/>
      <c r="AE398" s="37" t="n"/>
      <c r="AF398" s="35" t="n"/>
      <c r="AG398" s="35" t="n"/>
      <c r="AH398" s="37" t="n"/>
    </row>
    <row r="399">
      <c r="A399" s="35" t="n"/>
      <c r="B399" s="36" t="n"/>
      <c r="C399" s="37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7" t="n"/>
      <c r="AD399" s="37" t="n"/>
      <c r="AE399" s="37" t="n"/>
      <c r="AF399" s="35" t="n"/>
      <c r="AG399" s="35" t="n"/>
      <c r="AH399" s="37" t="n"/>
    </row>
    <row r="400">
      <c r="A400" s="35" t="n"/>
      <c r="B400" s="36" t="n"/>
      <c r="C400" s="37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7" t="n"/>
      <c r="AD400" s="37" t="n"/>
      <c r="AE400" s="37" t="n"/>
      <c r="AF400" s="35" t="n"/>
      <c r="AG400" s="35" t="n"/>
      <c r="AH400" s="37" t="n"/>
    </row>
    <row r="401">
      <c r="A401" s="35" t="n"/>
      <c r="B401" s="36" t="n"/>
      <c r="C401" s="37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7" t="n"/>
      <c r="AD401" s="37" t="n"/>
      <c r="AE401" s="37" t="n"/>
      <c r="AF401" s="35" t="n"/>
      <c r="AG401" s="35" t="n"/>
      <c r="AH401" s="37" t="n"/>
    </row>
    <row r="402">
      <c r="A402" s="35" t="n"/>
      <c r="B402" s="36" t="n"/>
      <c r="C402" s="37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7" t="n"/>
      <c r="AD402" s="37" t="n"/>
      <c r="AE402" s="37" t="n"/>
      <c r="AF402" s="35" t="n"/>
      <c r="AG402" s="35" t="n"/>
      <c r="AH402" s="37" t="n"/>
    </row>
    <row r="403">
      <c r="A403" s="35" t="n"/>
      <c r="B403" s="36" t="n"/>
      <c r="C403" s="37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7" t="n"/>
      <c r="AD403" s="37" t="n"/>
      <c r="AE403" s="37" t="n"/>
      <c r="AF403" s="35" t="n"/>
      <c r="AG403" s="35" t="n"/>
      <c r="AH403" s="37" t="n"/>
    </row>
    <row r="404">
      <c r="A404" s="35" t="n"/>
      <c r="B404" s="36" t="n"/>
      <c r="C404" s="37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7" t="n"/>
      <c r="AD404" s="37" t="n"/>
      <c r="AE404" s="37" t="n"/>
      <c r="AF404" s="35" t="n"/>
      <c r="AG404" s="35" t="n"/>
      <c r="AH404" s="37" t="n"/>
    </row>
    <row r="405">
      <c r="A405" s="35" t="n"/>
      <c r="B405" s="36" t="n"/>
      <c r="C405" s="37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7" t="n"/>
      <c r="AD405" s="37" t="n"/>
      <c r="AE405" s="37" t="n"/>
      <c r="AF405" s="35" t="n"/>
      <c r="AG405" s="35" t="n"/>
      <c r="AH405" s="37" t="n"/>
    </row>
    <row r="406">
      <c r="A406" s="35" t="n"/>
      <c r="B406" s="36" t="n"/>
      <c r="C406" s="37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7" t="n"/>
      <c r="AD406" s="37" t="n"/>
      <c r="AE406" s="37" t="n"/>
      <c r="AF406" s="35" t="n"/>
      <c r="AG406" s="35" t="n"/>
      <c r="AH406" s="37" t="n"/>
    </row>
    <row r="407">
      <c r="A407" s="35" t="n"/>
      <c r="B407" s="36" t="n"/>
      <c r="C407" s="37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7" t="n"/>
      <c r="AD407" s="37" t="n"/>
      <c r="AE407" s="37" t="n"/>
      <c r="AF407" s="35" t="n"/>
      <c r="AG407" s="35" t="n"/>
      <c r="AH407" s="37" t="n"/>
    </row>
    <row r="408">
      <c r="A408" s="35" t="n"/>
      <c r="B408" s="36" t="n"/>
      <c r="C408" s="37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7" t="n"/>
      <c r="AD408" s="37" t="n"/>
      <c r="AE408" s="37" t="n"/>
      <c r="AF408" s="35" t="n"/>
      <c r="AG408" s="35" t="n"/>
      <c r="AH408" s="37" t="n"/>
    </row>
    <row r="409">
      <c r="A409" s="35" t="n"/>
      <c r="B409" s="36" t="n"/>
      <c r="C409" s="37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7" t="n"/>
      <c r="AD409" s="37" t="n"/>
      <c r="AE409" s="37" t="n"/>
      <c r="AF409" s="35" t="n"/>
      <c r="AG409" s="35" t="n"/>
      <c r="AH409" s="37" t="n"/>
    </row>
    <row r="410">
      <c r="A410" s="35" t="n"/>
      <c r="B410" s="36" t="n"/>
      <c r="C410" s="37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7" t="n"/>
      <c r="AD410" s="37" t="n"/>
      <c r="AE410" s="37" t="n"/>
      <c r="AF410" s="35" t="n"/>
      <c r="AG410" s="35" t="n"/>
      <c r="AH410" s="37" t="n"/>
    </row>
    <row r="411">
      <c r="A411" s="35" t="n"/>
      <c r="B411" s="36" t="n"/>
      <c r="C411" s="37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7" t="n"/>
      <c r="AD411" s="37" t="n"/>
      <c r="AE411" s="37" t="n"/>
      <c r="AF411" s="35" t="n"/>
      <c r="AG411" s="35" t="n"/>
      <c r="AH411" s="37" t="n"/>
    </row>
    <row r="412">
      <c r="A412" s="35" t="n"/>
      <c r="B412" s="36" t="n"/>
      <c r="C412" s="37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7" t="n"/>
      <c r="AD412" s="37" t="n"/>
      <c r="AE412" s="37" t="n"/>
      <c r="AF412" s="35" t="n"/>
      <c r="AG412" s="35" t="n"/>
      <c r="AH412" s="37" t="n"/>
    </row>
    <row r="413">
      <c r="A413" s="35" t="n"/>
      <c r="B413" s="36" t="n"/>
      <c r="C413" s="37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7" t="n"/>
      <c r="AD413" s="37" t="n"/>
      <c r="AE413" s="37" t="n"/>
      <c r="AF413" s="35" t="n"/>
      <c r="AG413" s="35" t="n"/>
      <c r="AH413" s="37" t="n"/>
    </row>
    <row r="414">
      <c r="A414" s="35" t="n"/>
      <c r="B414" s="36" t="n"/>
      <c r="C414" s="37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7" t="n"/>
      <c r="AD414" s="37" t="n"/>
      <c r="AE414" s="37" t="n"/>
      <c r="AF414" s="35" t="n"/>
      <c r="AG414" s="35" t="n"/>
      <c r="AH414" s="37" t="n"/>
    </row>
    <row r="415">
      <c r="A415" s="35" t="n"/>
      <c r="B415" s="36" t="n"/>
      <c r="C415" s="37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7" t="n"/>
      <c r="AD415" s="37" t="n"/>
      <c r="AE415" s="37" t="n"/>
      <c r="AF415" s="35" t="n"/>
      <c r="AG415" s="35" t="n"/>
      <c r="AH415" s="37" t="n"/>
    </row>
    <row r="416">
      <c r="A416" s="35" t="n"/>
      <c r="B416" s="36" t="n"/>
      <c r="C416" s="37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7" t="n"/>
      <c r="AD416" s="37" t="n"/>
      <c r="AE416" s="37" t="n"/>
      <c r="AF416" s="35" t="n"/>
      <c r="AG416" s="35" t="n"/>
      <c r="AH416" s="37" t="n"/>
    </row>
    <row r="417">
      <c r="A417" s="35" t="n"/>
      <c r="B417" s="36" t="n"/>
      <c r="C417" s="37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7" t="n"/>
      <c r="AD417" s="37" t="n"/>
      <c r="AE417" s="37" t="n"/>
      <c r="AF417" s="35" t="n"/>
      <c r="AG417" s="35" t="n"/>
      <c r="AH417" s="37" t="n"/>
    </row>
    <row r="418">
      <c r="A418" s="35" t="n"/>
      <c r="B418" s="36" t="n"/>
      <c r="C418" s="37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7" t="n"/>
      <c r="AD418" s="37" t="n"/>
      <c r="AE418" s="37" t="n"/>
      <c r="AF418" s="35" t="n"/>
      <c r="AG418" s="35" t="n"/>
      <c r="AH418" s="37" t="n"/>
    </row>
    <row r="419">
      <c r="A419" s="35" t="n"/>
      <c r="B419" s="36" t="n"/>
      <c r="C419" s="37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7" t="n"/>
      <c r="AD419" s="37" t="n"/>
      <c r="AE419" s="37" t="n"/>
      <c r="AF419" s="35" t="n"/>
      <c r="AG419" s="35" t="n"/>
      <c r="AH419" s="37" t="n"/>
    </row>
    <row r="420">
      <c r="A420" s="35" t="n"/>
      <c r="B420" s="36" t="n"/>
      <c r="C420" s="37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7" t="n"/>
      <c r="AD420" s="37" t="n"/>
      <c r="AE420" s="37" t="n"/>
      <c r="AF420" s="35" t="n"/>
      <c r="AG420" s="35" t="n"/>
      <c r="AH420" s="37" t="n"/>
    </row>
    <row r="421">
      <c r="A421" s="35" t="n"/>
      <c r="B421" s="36" t="n"/>
      <c r="C421" s="37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7" t="n"/>
      <c r="AD421" s="37" t="n"/>
      <c r="AE421" s="37" t="n"/>
      <c r="AF421" s="35" t="n"/>
      <c r="AG421" s="35" t="n"/>
      <c r="AH421" s="37" t="n"/>
    </row>
    <row r="422">
      <c r="A422" s="35" t="n"/>
      <c r="B422" s="36" t="n"/>
      <c r="C422" s="37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7" t="n"/>
      <c r="AD422" s="37" t="n"/>
      <c r="AE422" s="37" t="n"/>
      <c r="AF422" s="35" t="n"/>
      <c r="AG422" s="35" t="n"/>
      <c r="AH422" s="37" t="n"/>
    </row>
    <row r="423">
      <c r="A423" s="35" t="n"/>
      <c r="B423" s="36" t="n"/>
      <c r="C423" s="37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7" t="n"/>
      <c r="AD423" s="37" t="n"/>
      <c r="AE423" s="37" t="n"/>
      <c r="AF423" s="35" t="n"/>
      <c r="AG423" s="35" t="n"/>
      <c r="AH423" s="37" t="n"/>
    </row>
    <row r="424">
      <c r="A424" s="35" t="n"/>
      <c r="B424" s="36" t="n"/>
      <c r="C424" s="37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7" t="n"/>
      <c r="AD424" s="37" t="n"/>
      <c r="AE424" s="37" t="n"/>
      <c r="AF424" s="35" t="n"/>
      <c r="AG424" s="35" t="n"/>
      <c r="AH424" s="37" t="n"/>
    </row>
    <row r="425">
      <c r="A425" s="35" t="n"/>
      <c r="B425" s="36" t="n"/>
      <c r="C425" s="37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7" t="n"/>
      <c r="AD425" s="37" t="n"/>
      <c r="AE425" s="37" t="n"/>
      <c r="AF425" s="35" t="n"/>
      <c r="AG425" s="35" t="n"/>
      <c r="AH425" s="37" t="n"/>
    </row>
    <row r="426">
      <c r="A426" s="35" t="n"/>
      <c r="B426" s="36" t="n"/>
      <c r="C426" s="37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7" t="n"/>
      <c r="AD426" s="37" t="n"/>
      <c r="AE426" s="37" t="n"/>
      <c r="AF426" s="35" t="n"/>
      <c r="AG426" s="35" t="n"/>
      <c r="AH426" s="37" t="n"/>
    </row>
    <row r="427">
      <c r="A427" s="35" t="n"/>
      <c r="B427" s="36" t="n"/>
      <c r="C427" s="37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7" t="n"/>
      <c r="AD427" s="37" t="n"/>
      <c r="AE427" s="37" t="n"/>
      <c r="AF427" s="35" t="n"/>
      <c r="AG427" s="35" t="n"/>
      <c r="AH427" s="37" t="n"/>
    </row>
    <row r="428">
      <c r="A428" s="35" t="n"/>
      <c r="B428" s="36" t="n"/>
      <c r="C428" s="37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7" t="n"/>
      <c r="AD428" s="37" t="n"/>
      <c r="AE428" s="37" t="n"/>
      <c r="AF428" s="35" t="n"/>
      <c r="AG428" s="35" t="n"/>
      <c r="AH428" s="37" t="n"/>
    </row>
    <row r="429">
      <c r="A429" s="35" t="n"/>
      <c r="B429" s="36" t="n"/>
      <c r="C429" s="37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7" t="n"/>
      <c r="AD429" s="37" t="n"/>
      <c r="AE429" s="37" t="n"/>
      <c r="AF429" s="35" t="n"/>
      <c r="AG429" s="35" t="n"/>
      <c r="AH429" s="37" t="n"/>
    </row>
    <row r="430">
      <c r="A430" s="35" t="n"/>
      <c r="B430" s="36" t="n"/>
      <c r="C430" s="37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7" t="n"/>
      <c r="AD430" s="37" t="n"/>
      <c r="AE430" s="37" t="n"/>
      <c r="AF430" s="35" t="n"/>
      <c r="AG430" s="35" t="n"/>
      <c r="AH430" s="37" t="n"/>
    </row>
    <row r="431">
      <c r="A431" s="35" t="n"/>
      <c r="B431" s="36" t="n"/>
      <c r="C431" s="37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7" t="n"/>
      <c r="AD431" s="37" t="n"/>
      <c r="AE431" s="37" t="n"/>
      <c r="AF431" s="35" t="n"/>
      <c r="AG431" s="35" t="n"/>
      <c r="AH431" s="37" t="n"/>
    </row>
    <row r="432">
      <c r="A432" s="35" t="n"/>
      <c r="B432" s="36" t="n"/>
      <c r="C432" s="37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7" t="n"/>
      <c r="AD432" s="37" t="n"/>
      <c r="AE432" s="37" t="n"/>
      <c r="AF432" s="35" t="n"/>
      <c r="AG432" s="35" t="n"/>
      <c r="AH432" s="37" t="n"/>
    </row>
    <row r="433">
      <c r="A433" s="35" t="n"/>
      <c r="B433" s="36" t="n"/>
      <c r="C433" s="37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7" t="n"/>
      <c r="AD433" s="37" t="n"/>
      <c r="AE433" s="37" t="n"/>
      <c r="AF433" s="35" t="n"/>
      <c r="AG433" s="35" t="n"/>
      <c r="AH433" s="37" t="n"/>
    </row>
    <row r="434">
      <c r="A434" s="35" t="n"/>
      <c r="B434" s="36" t="n"/>
      <c r="C434" s="37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7" t="n"/>
      <c r="AD434" s="37" t="n"/>
      <c r="AE434" s="37" t="n"/>
      <c r="AF434" s="35" t="n"/>
      <c r="AG434" s="35" t="n"/>
      <c r="AH434" s="37" t="n"/>
    </row>
    <row r="435">
      <c r="A435" s="35" t="n"/>
      <c r="B435" s="36" t="n"/>
      <c r="C435" s="37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7" t="n"/>
      <c r="AD435" s="37" t="n"/>
      <c r="AE435" s="37" t="n"/>
      <c r="AF435" s="35" t="n"/>
      <c r="AG435" s="35" t="n"/>
      <c r="AH435" s="37" t="n"/>
    </row>
    <row r="436">
      <c r="A436" s="35" t="n"/>
      <c r="B436" s="36" t="n"/>
      <c r="C436" s="37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7" t="n"/>
      <c r="AD436" s="37" t="n"/>
      <c r="AE436" s="37" t="n"/>
      <c r="AF436" s="35" t="n"/>
      <c r="AG436" s="35" t="n"/>
      <c r="AH436" s="37" t="n"/>
    </row>
    <row r="437">
      <c r="A437" s="35" t="n"/>
      <c r="B437" s="36" t="n"/>
      <c r="C437" s="37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7" t="n"/>
      <c r="AD437" s="37" t="n"/>
      <c r="AE437" s="37" t="n"/>
      <c r="AF437" s="35" t="n"/>
      <c r="AG437" s="35" t="n"/>
      <c r="AH437" s="37" t="n"/>
    </row>
    <row r="438">
      <c r="A438" s="35" t="n"/>
      <c r="B438" s="36" t="n"/>
      <c r="C438" s="37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7" t="n"/>
      <c r="AD438" s="37" t="n"/>
      <c r="AE438" s="37" t="n"/>
      <c r="AF438" s="35" t="n"/>
      <c r="AG438" s="35" t="n"/>
      <c r="AH438" s="37" t="n"/>
    </row>
    <row r="439">
      <c r="A439" s="35" t="n"/>
      <c r="B439" s="36" t="n"/>
      <c r="C439" s="37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7" t="n"/>
      <c r="AD439" s="37" t="n"/>
      <c r="AE439" s="37" t="n"/>
      <c r="AF439" s="35" t="n"/>
      <c r="AG439" s="35" t="n"/>
      <c r="AH439" s="37" t="n"/>
    </row>
    <row r="440">
      <c r="A440" s="35" t="n"/>
      <c r="B440" s="36" t="n"/>
      <c r="C440" s="37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7" t="n"/>
      <c r="AD440" s="37" t="n"/>
      <c r="AE440" s="37" t="n"/>
      <c r="AF440" s="35" t="n"/>
      <c r="AG440" s="35" t="n"/>
      <c r="AH440" s="37" t="n"/>
    </row>
    <row r="441">
      <c r="A441" s="35" t="n"/>
      <c r="B441" s="36" t="n"/>
      <c r="C441" s="37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7" t="n"/>
      <c r="AD441" s="37" t="n"/>
      <c r="AE441" s="37" t="n"/>
      <c r="AF441" s="35" t="n"/>
      <c r="AG441" s="35" t="n"/>
      <c r="AH441" s="37" t="n"/>
    </row>
    <row r="442">
      <c r="A442" s="35" t="n"/>
      <c r="B442" s="36" t="n"/>
      <c r="C442" s="37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7" t="n"/>
      <c r="AD442" s="37" t="n"/>
      <c r="AE442" s="37" t="n"/>
      <c r="AF442" s="35" t="n"/>
      <c r="AG442" s="35" t="n"/>
      <c r="AH442" s="37" t="n"/>
    </row>
    <row r="443">
      <c r="A443" s="35" t="n"/>
      <c r="B443" s="36" t="n"/>
      <c r="C443" s="37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7" t="n"/>
      <c r="AD443" s="37" t="n"/>
      <c r="AE443" s="37" t="n"/>
      <c r="AF443" s="35" t="n"/>
      <c r="AG443" s="35" t="n"/>
      <c r="AH443" s="37" t="n"/>
    </row>
    <row r="444">
      <c r="A444" s="35" t="n"/>
      <c r="B444" s="36" t="n"/>
      <c r="C444" s="37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7" t="n"/>
      <c r="AD444" s="37" t="n"/>
      <c r="AE444" s="37" t="n"/>
      <c r="AF444" s="35" t="n"/>
      <c r="AG444" s="35" t="n"/>
      <c r="AH444" s="37" t="n"/>
    </row>
    <row r="445">
      <c r="A445" s="35" t="n"/>
      <c r="B445" s="36" t="n"/>
      <c r="C445" s="37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7" t="n"/>
      <c r="AD445" s="37" t="n"/>
      <c r="AE445" s="37" t="n"/>
      <c r="AF445" s="35" t="n"/>
      <c r="AG445" s="35" t="n"/>
      <c r="AH445" s="37" t="n"/>
    </row>
    <row r="446">
      <c r="A446" s="35" t="n"/>
      <c r="B446" s="36" t="n"/>
      <c r="C446" s="37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7" t="n"/>
      <c r="AD446" s="37" t="n"/>
      <c r="AE446" s="37" t="n"/>
      <c r="AF446" s="35" t="n"/>
      <c r="AG446" s="35" t="n"/>
      <c r="AH446" s="37" t="n"/>
    </row>
    <row r="447">
      <c r="A447" s="35" t="n"/>
      <c r="B447" s="36" t="n"/>
      <c r="C447" s="37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7" t="n"/>
      <c r="AD447" s="37" t="n"/>
      <c r="AE447" s="37" t="n"/>
      <c r="AF447" s="35" t="n"/>
      <c r="AG447" s="35" t="n"/>
      <c r="AH447" s="37" t="n"/>
    </row>
    <row r="448">
      <c r="A448" s="35" t="n"/>
      <c r="B448" s="36" t="n"/>
      <c r="C448" s="37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7" t="n"/>
      <c r="AD448" s="37" t="n"/>
      <c r="AE448" s="37" t="n"/>
      <c r="AF448" s="35" t="n"/>
      <c r="AG448" s="35" t="n"/>
      <c r="AH448" s="37" t="n"/>
    </row>
    <row r="449">
      <c r="A449" s="35" t="n"/>
      <c r="B449" s="36" t="n"/>
      <c r="C449" s="37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7" t="n"/>
      <c r="AD449" s="37" t="n"/>
      <c r="AE449" s="37" t="n"/>
      <c r="AF449" s="35" t="n"/>
      <c r="AG449" s="35" t="n"/>
      <c r="AH449" s="37" t="n"/>
    </row>
    <row r="450">
      <c r="A450" s="35" t="n"/>
      <c r="B450" s="36" t="n"/>
      <c r="C450" s="37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7" t="n"/>
      <c r="AD450" s="37" t="n"/>
      <c r="AE450" s="37" t="n"/>
      <c r="AF450" s="35" t="n"/>
      <c r="AG450" s="35" t="n"/>
      <c r="AH450" s="37" t="n"/>
    </row>
    <row r="451">
      <c r="A451" s="35" t="n"/>
      <c r="B451" s="36" t="n"/>
      <c r="C451" s="37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7" t="n"/>
      <c r="AD451" s="37" t="n"/>
      <c r="AE451" s="37" t="n"/>
      <c r="AF451" s="35" t="n"/>
      <c r="AG451" s="35" t="n"/>
      <c r="AH451" s="37" t="n"/>
    </row>
    <row r="452">
      <c r="A452" s="35" t="n"/>
      <c r="B452" s="36" t="n"/>
      <c r="C452" s="37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7" t="n"/>
      <c r="AD452" s="37" t="n"/>
      <c r="AE452" s="37" t="n"/>
      <c r="AF452" s="35" t="n"/>
      <c r="AG452" s="35" t="n"/>
      <c r="AH452" s="37" t="n"/>
    </row>
    <row r="453">
      <c r="A453" s="35" t="n"/>
      <c r="B453" s="36" t="n"/>
      <c r="C453" s="37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7" t="n"/>
      <c r="AD453" s="37" t="n"/>
      <c r="AE453" s="37" t="n"/>
      <c r="AF453" s="35" t="n"/>
      <c r="AG453" s="35" t="n"/>
      <c r="AH453" s="37" t="n"/>
    </row>
    <row r="454">
      <c r="A454" s="35" t="n"/>
      <c r="B454" s="36" t="n"/>
      <c r="C454" s="37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7" t="n"/>
      <c r="AD454" s="37" t="n"/>
      <c r="AE454" s="37" t="n"/>
      <c r="AF454" s="35" t="n"/>
      <c r="AG454" s="35" t="n"/>
      <c r="AH454" s="37" t="n"/>
    </row>
    <row r="455">
      <c r="A455" s="35" t="n"/>
      <c r="B455" s="36" t="n"/>
      <c r="C455" s="37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7" t="n"/>
      <c r="AD455" s="37" t="n"/>
      <c r="AE455" s="37" t="n"/>
      <c r="AF455" s="35" t="n"/>
      <c r="AG455" s="35" t="n"/>
      <c r="AH455" s="37" t="n"/>
    </row>
    <row r="456">
      <c r="A456" s="35" t="n"/>
      <c r="B456" s="36" t="n"/>
      <c r="C456" s="37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7" t="n"/>
      <c r="AD456" s="37" t="n"/>
      <c r="AE456" s="37" t="n"/>
      <c r="AF456" s="35" t="n"/>
      <c r="AG456" s="35" t="n"/>
      <c r="AH456" s="37" t="n"/>
    </row>
    <row r="457">
      <c r="A457" s="35" t="n"/>
      <c r="B457" s="36" t="n"/>
      <c r="C457" s="37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7" t="n"/>
      <c r="AD457" s="37" t="n"/>
      <c r="AE457" s="37" t="n"/>
      <c r="AF457" s="35" t="n"/>
      <c r="AG457" s="35" t="n"/>
      <c r="AH457" s="37" t="n"/>
    </row>
    <row r="458">
      <c r="A458" s="35" t="n"/>
      <c r="B458" s="36" t="n"/>
      <c r="C458" s="37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7" t="n"/>
      <c r="AD458" s="37" t="n"/>
      <c r="AE458" s="37" t="n"/>
      <c r="AF458" s="35" t="n"/>
      <c r="AG458" s="35" t="n"/>
      <c r="AH458" s="37" t="n"/>
    </row>
    <row r="459">
      <c r="A459" s="35" t="n"/>
      <c r="B459" s="36" t="n"/>
      <c r="C459" s="37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7" t="n"/>
      <c r="AD459" s="37" t="n"/>
      <c r="AE459" s="37" t="n"/>
      <c r="AF459" s="35" t="n"/>
      <c r="AG459" s="35" t="n"/>
      <c r="AH459" s="37" t="n"/>
    </row>
    <row r="460">
      <c r="A460" s="35" t="n"/>
      <c r="B460" s="36" t="n"/>
      <c r="C460" s="37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7" t="n"/>
      <c r="AD460" s="37" t="n"/>
      <c r="AE460" s="37" t="n"/>
      <c r="AF460" s="35" t="n"/>
      <c r="AG460" s="35" t="n"/>
      <c r="AH460" s="37" t="n"/>
    </row>
    <row r="461">
      <c r="A461" s="35" t="n"/>
      <c r="B461" s="36" t="n"/>
      <c r="C461" s="37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7" t="n"/>
      <c r="AD461" s="37" t="n"/>
      <c r="AE461" s="37" t="n"/>
      <c r="AF461" s="35" t="n"/>
      <c r="AG461" s="35" t="n"/>
      <c r="AH461" s="37" t="n"/>
    </row>
    <row r="462">
      <c r="A462" s="35" t="n"/>
      <c r="B462" s="36" t="n"/>
      <c r="C462" s="37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7" t="n"/>
      <c r="AD462" s="37" t="n"/>
      <c r="AE462" s="37" t="n"/>
      <c r="AF462" s="35" t="n"/>
      <c r="AG462" s="35" t="n"/>
      <c r="AH462" s="37" t="n"/>
    </row>
    <row r="463">
      <c r="A463" s="35" t="n"/>
      <c r="B463" s="36" t="n"/>
      <c r="C463" s="37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7" t="n"/>
      <c r="AD463" s="37" t="n"/>
      <c r="AE463" s="37" t="n"/>
      <c r="AF463" s="35" t="n"/>
      <c r="AG463" s="35" t="n"/>
      <c r="AH463" s="37" t="n"/>
    </row>
    <row r="464">
      <c r="A464" s="35" t="n"/>
      <c r="B464" s="36" t="n"/>
      <c r="C464" s="37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7" t="n"/>
      <c r="AD464" s="37" t="n"/>
      <c r="AE464" s="37" t="n"/>
      <c r="AF464" s="35" t="n"/>
      <c r="AG464" s="35" t="n"/>
      <c r="AH464" s="37" t="n"/>
    </row>
    <row r="465">
      <c r="A465" s="35" t="n"/>
      <c r="B465" s="36" t="n"/>
      <c r="C465" s="37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7" t="n"/>
      <c r="AD465" s="37" t="n"/>
      <c r="AE465" s="37" t="n"/>
      <c r="AF465" s="35" t="n"/>
      <c r="AG465" s="35" t="n"/>
      <c r="AH465" s="37" t="n"/>
    </row>
    <row r="466">
      <c r="A466" s="35" t="n"/>
      <c r="B466" s="36" t="n"/>
      <c r="C466" s="37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7" t="n"/>
      <c r="AD466" s="37" t="n"/>
      <c r="AE466" s="37" t="n"/>
      <c r="AF466" s="35" t="n"/>
      <c r="AG466" s="35" t="n"/>
      <c r="AH466" s="37" t="n"/>
    </row>
    <row r="467">
      <c r="A467" s="35" t="n"/>
      <c r="B467" s="36" t="n"/>
      <c r="C467" s="37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7" t="n"/>
      <c r="AD467" s="37" t="n"/>
      <c r="AE467" s="37" t="n"/>
      <c r="AF467" s="35" t="n"/>
      <c r="AG467" s="35" t="n"/>
      <c r="AH467" s="37" t="n"/>
    </row>
    <row r="468">
      <c r="A468" s="35" t="n"/>
      <c r="B468" s="36" t="n"/>
      <c r="C468" s="37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7" t="n"/>
      <c r="AD468" s="37" t="n"/>
      <c r="AE468" s="37" t="n"/>
      <c r="AF468" s="35" t="n"/>
      <c r="AG468" s="35" t="n"/>
      <c r="AH468" s="37" t="n"/>
    </row>
    <row r="469">
      <c r="A469" s="35" t="n"/>
      <c r="B469" s="36" t="n"/>
      <c r="C469" s="37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7" t="n"/>
      <c r="AD469" s="37" t="n"/>
      <c r="AE469" s="37" t="n"/>
      <c r="AF469" s="35" t="n"/>
      <c r="AG469" s="35" t="n"/>
      <c r="AH469" s="37" t="n"/>
    </row>
    <row r="470">
      <c r="A470" s="35" t="n"/>
      <c r="B470" s="36" t="n"/>
      <c r="C470" s="37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7" t="n"/>
      <c r="AD470" s="37" t="n"/>
      <c r="AE470" s="37" t="n"/>
      <c r="AF470" s="35" t="n"/>
      <c r="AG470" s="35" t="n"/>
      <c r="AH470" s="37" t="n"/>
    </row>
    <row r="471">
      <c r="A471" s="35" t="n"/>
      <c r="B471" s="36" t="n"/>
      <c r="C471" s="37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7" t="n"/>
      <c r="AD471" s="37" t="n"/>
      <c r="AE471" s="37" t="n"/>
      <c r="AF471" s="35" t="n"/>
      <c r="AG471" s="35" t="n"/>
      <c r="AH471" s="37" t="n"/>
    </row>
    <row r="472">
      <c r="A472" s="35" t="n"/>
      <c r="B472" s="36" t="n"/>
      <c r="C472" s="37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7" t="n"/>
      <c r="AD472" s="37" t="n"/>
      <c r="AE472" s="37" t="n"/>
      <c r="AF472" s="35" t="n"/>
      <c r="AG472" s="35" t="n"/>
      <c r="AH472" s="37" t="n"/>
    </row>
    <row r="473">
      <c r="A473" s="35" t="n"/>
      <c r="B473" s="36" t="n"/>
      <c r="C473" s="37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7" t="n"/>
      <c r="AD473" s="37" t="n"/>
      <c r="AE473" s="37" t="n"/>
      <c r="AF473" s="35" t="n"/>
      <c r="AG473" s="35" t="n"/>
      <c r="AH473" s="37" t="n"/>
    </row>
    <row r="474">
      <c r="A474" s="35" t="n"/>
      <c r="B474" s="36" t="n"/>
      <c r="C474" s="37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7" t="n"/>
      <c r="AD474" s="37" t="n"/>
      <c r="AE474" s="37" t="n"/>
      <c r="AF474" s="35" t="n"/>
      <c r="AG474" s="35" t="n"/>
      <c r="AH474" s="37" t="n"/>
    </row>
    <row r="475">
      <c r="A475" s="35" t="n"/>
      <c r="B475" s="36" t="n"/>
      <c r="C475" s="37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7" t="n"/>
      <c r="AD475" s="37" t="n"/>
      <c r="AE475" s="37" t="n"/>
      <c r="AF475" s="35" t="n"/>
      <c r="AG475" s="35" t="n"/>
      <c r="AH475" s="37" t="n"/>
    </row>
    <row r="476">
      <c r="A476" s="35" t="n"/>
      <c r="B476" s="36" t="n"/>
      <c r="C476" s="37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7" t="n"/>
      <c r="AD476" s="37" t="n"/>
      <c r="AE476" s="37" t="n"/>
      <c r="AF476" s="35" t="n"/>
      <c r="AG476" s="35" t="n"/>
      <c r="AH476" s="37" t="n"/>
    </row>
    <row r="477">
      <c r="A477" s="35" t="n"/>
      <c r="B477" s="36" t="n"/>
      <c r="C477" s="37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7" t="n"/>
      <c r="AD477" s="37" t="n"/>
      <c r="AE477" s="37" t="n"/>
      <c r="AF477" s="35" t="n"/>
      <c r="AG477" s="35" t="n"/>
      <c r="AH477" s="37" t="n"/>
    </row>
    <row r="478">
      <c r="A478" s="35" t="n"/>
      <c r="B478" s="36" t="n"/>
      <c r="C478" s="37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7" t="n"/>
      <c r="AD478" s="37" t="n"/>
      <c r="AE478" s="37" t="n"/>
      <c r="AF478" s="35" t="n"/>
      <c r="AG478" s="35" t="n"/>
      <c r="AH478" s="37" t="n"/>
    </row>
    <row r="479">
      <c r="A479" s="35" t="n"/>
      <c r="B479" s="36" t="n"/>
      <c r="C479" s="37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7" t="n"/>
      <c r="AD479" s="37" t="n"/>
      <c r="AE479" s="37" t="n"/>
      <c r="AF479" s="35" t="n"/>
      <c r="AG479" s="35" t="n"/>
      <c r="AH479" s="37" t="n"/>
    </row>
    <row r="480">
      <c r="A480" s="35" t="n"/>
      <c r="B480" s="36" t="n"/>
      <c r="C480" s="37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7" t="n"/>
      <c r="AD480" s="37" t="n"/>
      <c r="AE480" s="37" t="n"/>
      <c r="AF480" s="35" t="n"/>
      <c r="AG480" s="35" t="n"/>
      <c r="AH480" s="37" t="n"/>
    </row>
    <row r="481">
      <c r="A481" s="35" t="n"/>
      <c r="B481" s="36" t="n"/>
      <c r="C481" s="37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7" t="n"/>
      <c r="AD481" s="37" t="n"/>
      <c r="AE481" s="37" t="n"/>
      <c r="AF481" s="35" t="n"/>
      <c r="AG481" s="35" t="n"/>
      <c r="AH481" s="37" t="n"/>
    </row>
    <row r="482">
      <c r="A482" s="35" t="n"/>
      <c r="B482" s="36" t="n"/>
      <c r="C482" s="37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7" t="n"/>
      <c r="AD482" s="37" t="n"/>
      <c r="AE482" s="37" t="n"/>
      <c r="AF482" s="35" t="n"/>
      <c r="AG482" s="35" t="n"/>
      <c r="AH482" s="37" t="n"/>
    </row>
    <row r="483">
      <c r="A483" s="35" t="n"/>
      <c r="B483" s="36" t="n"/>
      <c r="C483" s="37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7" t="n"/>
      <c r="AD483" s="37" t="n"/>
      <c r="AE483" s="37" t="n"/>
      <c r="AF483" s="35" t="n"/>
      <c r="AG483" s="35" t="n"/>
      <c r="AH483" s="37" t="n"/>
    </row>
    <row r="484">
      <c r="A484" s="35" t="n"/>
      <c r="B484" s="36" t="n"/>
      <c r="C484" s="37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7" t="n"/>
      <c r="AD484" s="37" t="n"/>
      <c r="AE484" s="37" t="n"/>
      <c r="AF484" s="35" t="n"/>
      <c r="AG484" s="35" t="n"/>
      <c r="AH484" s="37" t="n"/>
    </row>
    <row r="485">
      <c r="A485" s="35" t="n"/>
      <c r="B485" s="36" t="n"/>
      <c r="C485" s="37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7" t="n"/>
      <c r="AD485" s="37" t="n"/>
      <c r="AE485" s="37" t="n"/>
      <c r="AF485" s="35" t="n"/>
      <c r="AG485" s="35" t="n"/>
      <c r="AH485" s="37" t="n"/>
    </row>
    <row r="486">
      <c r="A486" s="35" t="n"/>
      <c r="B486" s="36" t="n"/>
      <c r="C486" s="37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7" t="n"/>
      <c r="AD486" s="37" t="n"/>
      <c r="AE486" s="37" t="n"/>
      <c r="AF486" s="35" t="n"/>
      <c r="AG486" s="35" t="n"/>
      <c r="AH486" s="37" t="n"/>
    </row>
    <row r="487">
      <c r="A487" s="35" t="n"/>
      <c r="B487" s="36" t="n"/>
      <c r="C487" s="37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7" t="n"/>
      <c r="AD487" s="37" t="n"/>
      <c r="AE487" s="37" t="n"/>
      <c r="AF487" s="35" t="n"/>
      <c r="AG487" s="35" t="n"/>
      <c r="AH487" s="37" t="n"/>
    </row>
    <row r="488">
      <c r="A488" s="35" t="n"/>
      <c r="B488" s="36" t="n"/>
      <c r="C488" s="37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7" t="n"/>
      <c r="AD488" s="37" t="n"/>
      <c r="AE488" s="37" t="n"/>
      <c r="AF488" s="35" t="n"/>
      <c r="AG488" s="35" t="n"/>
      <c r="AH488" s="37" t="n"/>
    </row>
    <row r="489">
      <c r="A489" s="35" t="n"/>
      <c r="B489" s="36" t="n"/>
      <c r="C489" s="37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7" t="n"/>
      <c r="AD489" s="37" t="n"/>
      <c r="AE489" s="37" t="n"/>
      <c r="AF489" s="35" t="n"/>
      <c r="AG489" s="35" t="n"/>
      <c r="AH489" s="37" t="n"/>
    </row>
    <row r="490">
      <c r="A490" s="35" t="n"/>
      <c r="B490" s="36" t="n"/>
      <c r="C490" s="37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7" t="n"/>
      <c r="AD490" s="37" t="n"/>
      <c r="AE490" s="37" t="n"/>
      <c r="AF490" s="35" t="n"/>
      <c r="AG490" s="35" t="n"/>
      <c r="AH490" s="37" t="n"/>
    </row>
    <row r="491">
      <c r="A491" s="35" t="n"/>
      <c r="B491" s="36" t="n"/>
      <c r="C491" s="37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7" t="n"/>
      <c r="AD491" s="37" t="n"/>
      <c r="AE491" s="37" t="n"/>
      <c r="AF491" s="35" t="n"/>
      <c r="AG491" s="35" t="n"/>
      <c r="AH491" s="37" t="n"/>
    </row>
    <row r="492">
      <c r="A492" s="35" t="n"/>
      <c r="B492" s="36" t="n"/>
      <c r="C492" s="37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7" t="n"/>
      <c r="AD492" s="37" t="n"/>
      <c r="AE492" s="37" t="n"/>
      <c r="AF492" s="35" t="n"/>
      <c r="AG492" s="35" t="n"/>
      <c r="AH492" s="37" t="n"/>
    </row>
    <row r="493">
      <c r="A493" s="35" t="n"/>
      <c r="B493" s="36" t="n"/>
      <c r="C493" s="37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7" t="n"/>
      <c r="AD493" s="37" t="n"/>
      <c r="AE493" s="37" t="n"/>
      <c r="AF493" s="35" t="n"/>
      <c r="AG493" s="35" t="n"/>
      <c r="AH493" s="37" t="n"/>
    </row>
    <row r="494">
      <c r="A494" s="35" t="n"/>
      <c r="B494" s="36" t="n"/>
      <c r="C494" s="37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7" t="n"/>
      <c r="AD494" s="37" t="n"/>
      <c r="AE494" s="37" t="n"/>
      <c r="AF494" s="35" t="n"/>
      <c r="AG494" s="35" t="n"/>
      <c r="AH494" s="37" t="n"/>
    </row>
    <row r="495">
      <c r="A495" s="35" t="n"/>
      <c r="B495" s="36" t="n"/>
      <c r="C495" s="37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7" t="n"/>
      <c r="AD495" s="37" t="n"/>
      <c r="AE495" s="37" t="n"/>
      <c r="AF495" s="35" t="n"/>
      <c r="AG495" s="35" t="n"/>
      <c r="AH495" s="37" t="n"/>
    </row>
    <row r="496">
      <c r="A496" s="35" t="n"/>
      <c r="B496" s="36" t="n"/>
      <c r="C496" s="37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7" t="n"/>
      <c r="AD496" s="37" t="n"/>
      <c r="AE496" s="37" t="n"/>
      <c r="AF496" s="35" t="n"/>
      <c r="AG496" s="35" t="n"/>
      <c r="AH496" s="37" t="n"/>
    </row>
    <row r="497">
      <c r="A497" s="35" t="n"/>
      <c r="B497" s="36" t="n"/>
      <c r="C497" s="37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7" t="n"/>
      <c r="AD497" s="37" t="n"/>
      <c r="AE497" s="37" t="n"/>
      <c r="AF497" s="35" t="n"/>
      <c r="AG497" s="35" t="n"/>
      <c r="AH497" s="37" t="n"/>
    </row>
    <row r="498">
      <c r="A498" s="35" t="n"/>
      <c r="B498" s="36" t="n"/>
      <c r="C498" s="37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7" t="n"/>
      <c r="AD498" s="37" t="n"/>
      <c r="AE498" s="37" t="n"/>
      <c r="AF498" s="35" t="n"/>
      <c r="AG498" s="35" t="n"/>
      <c r="AH498" s="37" t="n"/>
    </row>
    <row r="499">
      <c r="A499" s="35" t="n"/>
      <c r="B499" s="36" t="n"/>
      <c r="C499" s="37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7" t="n"/>
      <c r="AD499" s="37" t="n"/>
      <c r="AE499" s="37" t="n"/>
      <c r="AF499" s="35" t="n"/>
      <c r="AG499" s="35" t="n"/>
      <c r="AH499" s="37" t="n"/>
    </row>
    <row r="500">
      <c r="A500" s="35" t="n"/>
      <c r="B500" s="36" t="n"/>
      <c r="C500" s="37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7" t="n"/>
      <c r="AD500" s="37" t="n"/>
      <c r="AE500" s="37" t="n"/>
      <c r="AF500" s="35" t="n"/>
      <c r="AG500" s="35" t="n"/>
      <c r="AH500" s="37" t="n"/>
    </row>
  </sheetData>
  <autoFilter ref="A2:AH500"/>
  <mergeCells count="1">
    <mergeCell ref="A1:AH1"/>
  </mergeCells>
  <dataValidations count="28">
    <dataValidation sqref="A3:A500" showDropDown="0" showInputMessage="0" showErrorMessage="0" allowBlank="1" type="whole" operator="greaterThanOrEqual">
      <formula1>0</formula1>
    </dataValidation>
    <dataValidation sqref="D3:D500" showDropDown="0" showInputMessage="0" showErrorMessage="0" allowBlank="1" errorTitle="Ungültig" error="Bitte einen Wert aus der Liste „Gültig“ wählen." type="list">
      <formula1>=Listen!$A$4:$A$5</formula1>
    </dataValidation>
    <dataValidation sqref="E3:E500" showDropDown="0" showInputMessage="0" showErrorMessage="0" allowBlank="1" errorTitle="Ungültig" error="Bitte einen Wert aus der Liste „Rolle“ wählen." type="list">
      <formula1>=Listen!$B$4:$B$8</formula1>
    </dataValidation>
    <dataValidation sqref="F3:F500" showDropDown="0" showInputMessage="0" showErrorMessage="0" allowBlank="1" errorTitle="Ungültig" error="Bitte einen Wert aus der Liste „Altersgruppe“ wählen." type="list">
      <formula1>=Listen!$C$4:$C$9</formula1>
    </dataValidation>
    <dataValidation sqref="G3:G500" showDropDown="0" showInputMessage="0" showErrorMessage="0" allowBlank="1" errorTitle="Ungültig" error="Bitte einen Wert aus der Liste „Spielhäufigkeit“ wählen." type="list">
      <formula1>=Listen!$D$4:$D$8</formula1>
    </dataValidation>
    <dataValidation sqref="H3:H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I3:I500" showDropDown="0" showInputMessage="0" showErrorMessage="0" allowBlank="1" errorTitle="Ungültig" error="Bitte einen Wert aus der Liste „Bedienung“ wählen." type="list">
      <formula1>=Listen!$E$4:$E$6</formula1>
    </dataValidation>
    <dataValidation sqref="J3:J500" showDropDown="0" showInputMessage="0" showErrorMessage="0" allowBlank="1" errorTitle="Ungültig" error="Bitte einen Wert aus der Liste „Sprache“ wählen." type="list">
      <formula1>=Listen!$F$4:$F$9</formula1>
    </dataValidation>
    <dataValidation sqref="K3:K500" showDropDown="0" showInputMessage="0" showErrorMessage="0" allowBlank="1" errorTitle="Ungültig" error="Bitte einen Wert aus der Liste „Letzte Station“ wählen." type="list">
      <formula1>=Listen!$G$4:$G$14</formula1>
    </dataValidation>
    <dataValidation sqref="L3:L500" showDropDown="0" showInputMessage="0" showErrorMessage="0" allowBlank="1" type="whole" operator="greaterThanOrEqual">
      <formula1>0</formula1>
    </dataValidation>
    <dataValidation sqref="M3:M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N3:N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O3:O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P3:P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Q3:Q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R3:R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S3:S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T3:T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U3:U500" showDropDown="0" showInputMessage="0" showErrorMessage="0" allowBlank="1" errorTitle="Ungültig" error="Bitte einen Wert aus der Liste „Schwierigkeit“ wählen." type="list">
      <formula1>=Listen!$H$4:$H$6</formula1>
    </dataValidation>
    <dataValidation sqref="V3:V500" showDropDown="0" showInputMessage="0" showErrorMessage="0" allowBlank="1" errorTitle="Ungültig" error="Bitte einen Wert aus der Liste „Länge“ wählen." type="list">
      <formula1>=Listen!$I$4:$I$6</formula1>
    </dataValidation>
    <dataValidation sqref="W3:W500" showDropDown="0" showInputMessage="0" showErrorMessage="0" allowBlank="1" errorTitle="Ungültig" error="Bitte einen Wert aus der Liste „Quiz“ wählen." type="list">
      <formula1>=Listen!$J$4:$J$6</formula1>
    </dataValidation>
    <dataValidation sqref="X3:X500" showDropDown="0" showInputMessage="0" showErrorMessage="0" allowBlank="1" errorTitle="Ungültig" error="Bitte einen Wert aus der Liste „Quiz“ wählen." type="list">
      <formula1>=Listen!$J$4:$J$6</formula1>
    </dataValidation>
    <dataValidation sqref="Y3:Y500" showDropDown="0" showInputMessage="0" showErrorMessage="0" allowBlank="1" errorTitle="Ungültig" error="Bitte einen Wert aus der Liste „Quiz“ wählen." type="list">
      <formula1>=Listen!$J$4:$J$6</formula1>
    </dataValidation>
    <dataValidation sqref="Z3:Z500" showDropDown="0" showInputMessage="0" showErrorMessage="0" allowBlank="1" errorTitle="Ungültig" error="Bitte einen Wert aus der Liste „Quiz“ wählen." type="list">
      <formula1>=Listen!$J$4:$J$6</formula1>
    </dataValidation>
    <dataValidation sqref="AA3:AA500" showDropDown="0" showInputMessage="0" showErrorMessage="0" allowBlank="1" errorTitle="Ungültig" error="Skala 1 (stimme gar nicht zu) bis 5 (stimme voll zu)." type="whole" operator="between">
      <formula1>1</formula1>
      <formula2>5</formula2>
    </dataValidation>
    <dataValidation sqref="AB3:AB500" showDropDown="0" showInputMessage="0" showErrorMessage="0" allowBlank="1" errorTitle="Ungültig" error="Bitte einen Wert aus der Liste „Letzte Station“ wählen." type="list">
      <formula1>=Listen!$G$4:$G$14</formula1>
    </dataValidation>
    <dataValidation sqref="AF3:AF500" showDropDown="0" showInputMessage="0" showErrorMessage="0" allowBlank="1" errorTitle="Ungültig" error="0 (nie) bis 10 (auf jeden Fall)." type="whole" operator="between">
      <formula1>0</formula1>
      <formula2>10</formula2>
    </dataValidation>
    <dataValidation sqref="AG3:AG500" showDropDown="0" showInputMessage="0" showErrorMessage="0" allowBlank="1" errorTitle="Ungültig" error="Bitte einen Wert aus der Liste „Nochmal“ wählen." type="list">
      <formula1>=Listen!$K$4:$K$6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2026-09-07T07:22:55Z</dcterms:created>
  <dcterms:modified xsi:type="dcterms:W3CDTF">2026-09-07T07:22:56Z</dcterms:modified>
</cp:coreProperties>
</file>